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c1880c5b4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одель" sheetId="1" r:id="R713024075f824770"/>
    <x:sheet xmlns:r="http://schemas.openxmlformats.org/officeDocument/2006/relationships" name="Симплекс" sheetId="2" r:id="Rd9260655cdce46c7"/>
    <x:sheet xmlns:r="http://schemas.openxmlformats.org/officeDocument/2006/relationships" name="Solver" sheetId="3" r:id="R6261f75dce38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#,##0.000000"/>
    <x:numFmt numFmtId="203" formatCode="0.000"/>
    <x:numFmt numFmtId="204" formatCode="0.000000"/>
  </x:numFmts>
  <x:fonts count="5">
    <x:font>
      <x:sz val="11"/>
      <x:name val="Carlito"/>
    </x:font>
    <x:font>
      <x:sz val="11"/>
      <x:color rgb="FF111111"/>
      <x:name val="Arial"/>
    </x:font>
    <x:font>
      <x:b/>
      <x:sz val="15"/>
      <x:color rgb="FF111111"/>
      <x:name val="Arial"/>
    </x:font>
    <x:font>
      <x:b/>
      <x:sz val="11"/>
      <x:color rgb="FFFFFFFF"/>
      <x:name val="Arial"/>
    </x:font>
    <x:font>
      <x:b/>
      <x:sz val="11"/>
      <x:color rgb="FF1111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445A"/>
      </x:patternFill>
    </x:fill>
    <x:fill>
      <x:patternFill patternType="solid">
        <x:fgColor rgb="FFEAF3FA"/>
      </x:patternFill>
    </x:fill>
    <x:fill>
      <x:patternFill patternType="solid">
        <x:fgColor rgb="FFEEF1F4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D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d4e575f1c4b57" /><Relationship Type="http://schemas.openxmlformats.org/officeDocument/2006/relationships/theme" Target="/xl/theme/theme1.xml" Id="R071c709b494346b0" /><Relationship Type="http://schemas.openxmlformats.org/officeDocument/2006/relationships/sharedStrings" Target="/xl/sharedStrings.xml" Id="R0c08bc42072241f7" /><Relationship Type="http://schemas.openxmlformats.org/officeDocument/2006/relationships/worksheet" Target="/xl/worksheets/sheet1.xml" Id="R713024075f824770" /><Relationship Type="http://schemas.openxmlformats.org/officeDocument/2006/relationships/worksheet" Target="/xl/worksheets/sheet2.xml" Id="Rd9260655cdce46c7" /><Relationship Type="http://schemas.openxmlformats.org/officeDocument/2006/relationships/worksheet" Target="/xl/worksheets/sheet3.xml" Id="R6261f75dce38489f" /></Relationships>
</file>

<file path=xl/theme/theme1.xml><?xml version="1.0" encoding="utf-8"?>
<a:theme xmlns:a="http://schemas.openxmlformats.org/drawingml/2006/main" name="Учебная тема">
  <a:themeElements>
    <a:clrScheme name="Учебная тема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Учебная тема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220001220703125" hidden="0" customWidth="1"/>
    <x:col min="2" max="2" width="11.670000076293945" hidden="0" customWidth="1"/>
    <x:col min="3" max="3" width="11.670000076293945" hidden="0" customWidth="1"/>
    <x:col min="4" max="4" width="11.670000076293945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</x:cols>
  <x:sheetData>
    <x:row r="1" ht="24" customHeight="1">
      <x:c r="A1" s="3" t="str">
        <x:v>Производство промышленных PoE-коммутаторов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 t="str">
        <x:v>План на одну неделю. Исходные данные учебные, заданы автором.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 t="str">
        <x:v>Оптимальный выпуск, шт.</x:v>
      </x:c>
      <x:c r="B4" s="7" t="str">
        <x:v>P4</x:v>
      </x:c>
      <x:c r="C4" s="7" t="str">
        <x:v>P8</x:v>
      </x:c>
      <x:c r="D4" s="7" t="str">
        <x:v>P8H</x:v>
      </x:c>
      <x:c r="E4" s="2"/>
      <x:c r="F4" s="2" t="str">
        <x:v>Маржинальная прибыль, руб.</x:v>
      </x:c>
      <x:c r="G4" s="2"/>
      <x:c r="H4" s="2"/>
      <x:c r="I4" s="2"/>
    </x:row>
    <x:row r="5" ht="24" customHeight="1">
      <x:c r="A5" s="2"/>
      <x:c r="B5" s="3" t="n">
        <x:f>SUMIF('Симплекс'!$A$75:$A$82,1,'Симплекс'!$B$75:$B$82)</x:f>
        <x:v>39.99999999999999</x:v>
      </x:c>
      <x:c r="C5" s="3" t="n">
        <x:f>SUMIF('Симплекс'!$A$75:$A$82,2,'Симплекс'!$B$75:$B$82)</x:f>
        <x:v>30</x:v>
      </x:c>
      <x:c r="D5" s="3" t="n">
        <x:f>SUMIF('Симплекс'!$A$75:$A$82,3,'Симплекс'!$B$75:$B$82)</x:f>
        <x:v>20.000000000000007</x:v>
      </x:c>
      <x:c r="E5" s="2"/>
      <x:c r="F5" s="8" t="n">
        <x:f>SUMPRODUCT(B5:D5,B11:D11)</x:f>
        <x:v>720000.0000000001</x:v>
      </x:c>
      <x:c r="G5" s="2"/>
      <x:c r="H5" s="2"/>
      <x:c r="I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4" customHeight="1">
      <x:c r="A7" s="2" t="str">
        <x:v>Экономические параметры</x:v>
      </x:c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7" t="str">
        <x:v>Показатель</x:v>
      </x:c>
      <x:c r="B8" s="7" t="str">
        <x:v>P4</x:v>
      </x:c>
      <x:c r="C8" s="7" t="str">
        <x:v>P8</x:v>
      </x:c>
      <x:c r="D8" s="7" t="str">
        <x:v>P8H</x:v>
      </x:c>
      <x:c r="E8" s="2"/>
      <x:c r="F8" s="2"/>
      <x:c r="G8" s="2"/>
      <x:c r="H8" s="2"/>
      <x:c r="I8" s="2"/>
    </x:row>
    <x:row r="9" ht="24" customHeight="1">
      <x:c r="A9" s="2" t="str">
        <x:v>Цена, руб./шт.</x:v>
      </x:c>
      <x:c r="B9" s="10" t="n">
        <x:v>14000</x:v>
      </x:c>
      <x:c r="C9" s="10" t="n">
        <x:v>22000</x:v>
      </x:c>
      <x:c r="D9" s="10" t="n">
        <x:v>34000</x:v>
      </x:c>
      <x:c r="E9" s="2"/>
      <x:c r="F9" s="2"/>
      <x:c r="G9" s="2"/>
      <x:c r="H9" s="2"/>
      <x:c r="I9" s="2"/>
    </x:row>
    <x:row r="10" ht="24" customHeight="1">
      <x:c r="A10" s="2" t="str">
        <x:v>Переменные затраты, руб./шт.</x:v>
      </x:c>
      <x:c r="B10" s="10" t="n">
        <x:v>9000</x:v>
      </x:c>
      <x:c r="C10" s="10" t="n">
        <x:v>14000</x:v>
      </x:c>
      <x:c r="D10" s="10" t="n">
        <x:v>20000</x:v>
      </x:c>
      <x:c r="E10" s="2"/>
      <x:c r="F10" s="2"/>
      <x:c r="G10" s="2"/>
      <x:c r="H10" s="2"/>
      <x:c r="I10" s="2"/>
    </x:row>
    <x:row r="11" ht="24" customHeight="1">
      <x:c r="A11" s="2" t="str">
        <x:v>Маржинальная прибыль, руб./шт.</x:v>
      </x:c>
      <x:c r="B11" s="11" t="n">
        <x:f>B9-B10</x:f>
        <x:v>5000</x:v>
      </x:c>
      <x:c r="C11" s="11" t="n">
        <x:f>C9-C10</x:f>
        <x:v>8000</x:v>
      </x:c>
      <x:c r="D11" s="11" t="n">
        <x:f>D9-D10</x:f>
        <x:v>14000</x:v>
      </x:c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 t="str">
        <x:v>Нормы расхода и использование ресурсов</x:v>
      </x:c>
      <x:c r="B13" s="2"/>
      <x:c r="C13" s="2"/>
      <x:c r="D13" s="2"/>
      <x:c r="E13" s="2"/>
      <x:c r="F13" s="2"/>
      <x:c r="G13" s="2"/>
      <x:c r="H13" s="2"/>
      <x:c r="I13" s="2"/>
    </x:row>
    <x:row r="14" ht="40" customHeight="1">
      <x:c r="A14" s="7" t="str">
        <x:v>Ресурс и единица</x:v>
      </x:c>
      <x:c r="B14" s="7" t="str">
        <x:v>P4</x:v>
      </x:c>
      <x:c r="C14" s="7" t="str">
        <x:v>P8</x:v>
      </x:c>
      <x:c r="D14" s="7" t="str">
        <x:v>P8H</x:v>
      </x:c>
      <x:c r="E14" s="7" t="str">
        <x:v>Лимит</x:v>
      </x:c>
      <x:c r="F14" s="7" t="str">
        <x:v>Расход</x:v>
      </x:c>
      <x:c r="G14" s="7" t="str">
        <x:v>Остаток</x:v>
      </x:c>
      <x:c r="H14" s="7" t="str">
        <x:v>Загрузка</x:v>
      </x:c>
      <x:c r="I14" s="7" t="str">
        <x:v>Оценка, руб./ед.</x:v>
      </x:c>
    </x:row>
    <x:row r="15" ht="40" customHeight="1">
      <x:c r="A15" s="12" t="str">
        <x:v>Четырёхпортовые блоки PoE, шт.</x:v>
      </x:c>
      <x:c r="B15" s="10" t="n">
        <x:v>1</x:v>
      </x:c>
      <x:c r="C15" s="10" t="n">
        <x:v>2</x:v>
      </x:c>
      <x:c r="D15" s="10" t="n">
        <x:v>2</x:v>
      </x:c>
      <x:c r="E15" s="10" t="n">
        <x:v>160</x:v>
      </x:c>
      <x:c r="F15" s="11" t="n">
        <x:f>SUMPRODUCT($B$5:$D$5,B15:D15)</x:f>
        <x:v>140</x:v>
      </x:c>
      <x:c r="G15" s="11" t="n">
        <x:f>ROUND(E15-F15,9)</x:f>
        <x:v>20</x:v>
      </x:c>
      <x:c r="H15" s="13" t="n">
        <x:f>F15/E15</x:f>
        <x:v>0.875</x:v>
      </x:c>
      <x:c r="I15" s="11" t="n">
        <x:f>'Симплекс'!F83</x:f>
        <x:v>0</x:v>
      </x:c>
    </x:row>
    <x:row r="16" ht="40" customHeight="1">
      <x:c r="A16" s="12" t="str">
        <x:v>Унифицированные модули питания, шт.</x:v>
      </x:c>
      <x:c r="B16" s="10" t="n">
        <x:v>1</x:v>
      </x:c>
      <x:c r="C16" s="10" t="n">
        <x:v>1</x:v>
      </x:c>
      <x:c r="D16" s="10" t="n">
        <x:v>2</x:v>
      </x:c>
      <x:c r="E16" s="10" t="n">
        <x:v>130</x:v>
      </x:c>
      <x:c r="F16" s="11" t="n">
        <x:f>SUMPRODUCT($B$5:$D$5,B16:D16)</x:f>
        <x:v>110.00000000000001</x:v>
      </x:c>
      <x:c r="G16" s="11" t="n">
        <x:f>ROUND(E16-F16,9)</x:f>
        <x:v>20</x:v>
      </x:c>
      <x:c r="H16" s="13" t="n">
        <x:f>F16/E16</x:f>
        <x:v>0.8461538461538463</x:v>
      </x:c>
      <x:c r="I16" s="11" t="n">
        <x:f>'Симплекс'!G83</x:f>
        <x:v>0</x:v>
      </x:c>
    </x:row>
    <x:row r="17" ht="40" customHeight="1">
      <x:c r="A17" s="12" t="str">
        <x:v>Сборка и настройка, чел.-ч</x:v>
      </x:c>
      <x:c r="B17" s="10" t="n">
        <x:v>1</x:v>
      </x:c>
      <x:c r="C17" s="10" t="n">
        <x:v>2</x:v>
      </x:c>
      <x:c r="D17" s="10" t="n">
        <x:v>3</x:v>
      </x:c>
      <x:c r="E17" s="10" t="n">
        <x:v>160</x:v>
      </x:c>
      <x:c r="F17" s="11" t="n">
        <x:f>SUMPRODUCT($B$5:$D$5,B17:D17)</x:f>
        <x:v>160.00000000000003</x:v>
      </x:c>
      <x:c r="G17" s="11" t="n">
        <x:f>ROUND(E17-F17,9)</x:f>
        <x:v>0</x:v>
      </x:c>
      <x:c r="H17" s="13" t="n">
        <x:f>F17/E17</x:f>
        <x:v>1.0000000000000002</x:v>
      </x:c>
      <x:c r="I17" s="11" t="n">
        <x:f>'Симплекс'!H83</x:f>
        <x:v>1000</x:v>
      </x:c>
    </x:row>
    <x:row r="18" ht="40" customHeight="1">
      <x:c r="A18" s="12" t="str">
        <x:v>Проверка PoE под нагрузкой, стендо-ч</x:v>
      </x:c>
      <x:c r="B18" s="10" t="n">
        <x:v>1</x:v>
      </x:c>
      <x:c r="C18" s="10" t="n">
        <x:v>1</x:v>
      </x:c>
      <x:c r="D18" s="10" t="n">
        <x:v>3</x:v>
      </x:c>
      <x:c r="E18" s="10" t="n">
        <x:v>130</x:v>
      </x:c>
      <x:c r="F18" s="11" t="n">
        <x:f>SUMPRODUCT($B$5:$D$5,B18:D18)</x:f>
        <x:v>130.00000000000003</x:v>
      </x:c>
      <x:c r="G18" s="11" t="n">
        <x:f>ROUND(E18-F18,9)</x:f>
        <x:v>0</x:v>
      </x:c>
      <x:c r="H18" s="13" t="n">
        <x:f>F18/E18</x:f>
        <x:v>1.0000000000000002</x:v>
      </x:c>
      <x:c r="I18" s="11" t="n">
        <x:f>'Симплекс'!I83</x:f>
        <x:v>2000</x:v>
      </x:c>
    </x:row>
    <x:row r="19" ht="40" customHeight="1">
      <x:c r="A19" s="12" t="str">
        <x:v>Температурные испытания, место-ч</x:v>
      </x:c>
      <x:c r="B19" s="10" t="n">
        <x:v>2</x:v>
      </x:c>
      <x:c r="C19" s="10" t="n">
        <x:v>4</x:v>
      </x:c>
      <x:c r="D19" s="10" t="n">
        <x:v>5</x:v>
      </x:c>
      <x:c r="E19" s="10" t="n">
        <x:v>300</x:v>
      </x:c>
      <x:c r="F19" s="11" t="n">
        <x:f>SUMPRODUCT($B$5:$D$5,B19:D19)</x:f>
        <x:v>300</x:v>
      </x:c>
      <x:c r="G19" s="11" t="n">
        <x:f>ROUND(E19-F19,9)</x:f>
        <x:v>0</x:v>
      </x:c>
      <x:c r="H19" s="13" t="n">
        <x:f>F19/E19</x:f>
        <x:v>1</x:v>
      </x:c>
      <x:c r="I19" s="11" t="n">
        <x:f>'Симплекс'!J83</x:f>
        <x:v>1000</x:v>
      </x:c>
    </x:row>
    <x:row r="20" ht="40" customHeight="1">
      <x:c r="A20" s="12" t="str">
        <x:v>Спрос на P4, шт.</x:v>
      </x:c>
      <x:c r="B20" s="10" t="n">
        <x:v>1</x:v>
      </x:c>
      <x:c r="C20" s="10" t="n">
        <x:v>0</x:v>
      </x:c>
      <x:c r="D20" s="10" t="n">
        <x:v>0</x:v>
      </x:c>
      <x:c r="E20" s="10" t="n">
        <x:v>60</x:v>
      </x:c>
      <x:c r="F20" s="11" t="n">
        <x:f>SUMPRODUCT($B$5:$D$5,B20:D20)</x:f>
        <x:v>39.99999999999999</x:v>
      </x:c>
      <x:c r="G20" s="11" t="n">
        <x:f>ROUND(E20-F20,9)</x:f>
        <x:v>20</x:v>
      </x:c>
      <x:c r="H20" s="13" t="n">
        <x:f>F20/E20</x:f>
        <x:v>0.6666666666666665</x:v>
      </x:c>
      <x:c r="I20" s="11" t="n">
        <x:f>'Симплекс'!K83</x:f>
        <x:v>0</x:v>
      </x:c>
    </x:row>
    <x:row r="21" ht="40" customHeight="1">
      <x:c r="A21" s="12" t="str">
        <x:v>Спрос на P8, шт.</x:v>
      </x:c>
      <x:c r="B21" s="10" t="n">
        <x:v>0</x:v>
      </x:c>
      <x:c r="C21" s="10" t="n">
        <x:v>1</x:v>
      </x:c>
      <x:c r="D21" s="10" t="n">
        <x:v>0</x:v>
      </x:c>
      <x:c r="E21" s="10" t="n">
        <x:v>50</x:v>
      </x:c>
      <x:c r="F21" s="11" t="n">
        <x:f>SUMPRODUCT($B$5:$D$5,B21:D21)</x:f>
        <x:v>30</x:v>
      </x:c>
      <x:c r="G21" s="11" t="n">
        <x:f>ROUND(E21-F21,9)</x:f>
        <x:v>20</x:v>
      </x:c>
      <x:c r="H21" s="13" t="n">
        <x:f>F21/E21</x:f>
        <x:v>0.6</x:v>
      </x:c>
      <x:c r="I21" s="11" t="n">
        <x:f>'Симплекс'!L83</x:f>
        <x:v>0</x:v>
      </x:c>
    </x:row>
    <x:row r="22" ht="40" customHeight="1">
      <x:c r="A22" s="12" t="str">
        <x:v>Спрос на P8H, шт.</x:v>
      </x:c>
      <x:c r="B22" s="10" t="n">
        <x:v>0</x:v>
      </x:c>
      <x:c r="C22" s="10" t="n">
        <x:v>0</x:v>
      </x:c>
      <x:c r="D22" s="10" t="n">
        <x:v>1</x:v>
      </x:c>
      <x:c r="E22" s="10" t="n">
        <x:v>40</x:v>
      </x:c>
      <x:c r="F22" s="11" t="n">
        <x:f>SUMPRODUCT($B$5:$D$5,B22:D22)</x:f>
        <x:v>20.000000000000007</x:v>
      </x:c>
      <x:c r="G22" s="11" t="n">
        <x:f>ROUND(E22-F22,9)</x:f>
        <x:v>20</x:v>
      </x:c>
      <x:c r="H22" s="13" t="n">
        <x:f>F22/E22</x:f>
        <x:v>0.5000000000000002</x:v>
      </x:c>
      <x:c r="I22" s="11" t="n">
        <x:f>'Симплекс'!M83</x:f>
        <x:v>0</x:v>
      </x:c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 t="str">
        <x:v>Состояние симплекс-таблицы</x:v>
      </x:c>
      <x:c r="B24" s="2"/>
      <x:c r="C24" s="2" t="str">
        <x:f>'Симплекс'!C88</x:f>
        <x:v>Оптимум</x:v>
      </x:c>
      <x:c r="D24" s="2"/>
      <x:c r="E24" s="2"/>
      <x:c r="F24" s="2"/>
      <x:c r="G24" s="2"/>
      <x:c r="H24" s="2"/>
      <x:c r="I24" s="2"/>
    </x:row>
    <x:row r="25" ht="24" customHeight="1">
      <x:c r="A25" s="2" t="str">
        <x:v>Двойственная верхняя граница, руб.</x:v>
      </x:c>
      <x:c r="B25" s="2"/>
      <x:c r="C25" s="14" t="n">
        <x:f>SUMPRODUCT(E15:E22,I15:I22)</x:f>
        <x:v>720000</x:v>
      </x:c>
      <x:c r="D25" s="2"/>
      <x:c r="E25" s="2"/>
      <x:c r="F25" s="2"/>
      <x:c r="G25" s="2"/>
      <x:c r="H25" s="2"/>
      <x:c r="I25" s="2"/>
    </x:row>
    <x:row r="26" ht="24" customHeight="1">
      <x:c r="A26" s="2" t="str">
        <x:v>Разность с границей, до 10⁻⁶ руб.</x:v>
      </x:c>
      <x:c r="B26" s="2"/>
      <x:c r="C26" s="14" t="n">
        <x:f>ROUND(C25-F5,6)</x:f>
        <x:v>0</x:v>
      </x:c>
      <x:c r="D26" s="2"/>
      <x:c r="E26" s="2"/>
      <x:c r="F26" s="2"/>
      <x:c r="G26" s="2"/>
      <x:c r="H26" s="2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 t="str">
        <x:v>Голубым выделены исходные параметры. Значения решения рассчитаны формулами.</x:v>
      </x:c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 t="str">
        <x:v>Лист «Симплекс» содержит четыре перехода. После изменения данных проверяйте статус.</x:v>
      </x:c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 t="str">
        <x:v>Если четырёх переходов недостаточно, решите изменённую задачу на листе Solver или в R.</x:v>
      </x:c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 t="str">
        <x:v>Место-час: один занятый слот камеры в течение часа. Принято совместимое размещение изделий.</x:v>
      </x:c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 t="str">
        <x:v>Маржинальная прибыль не включает постоянные затраты, налоги и расходы на расширение мощности.</x:v>
      </x:c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</x:sheetData>
  <x:conditionalFormatting sqref="G15:G22">
    <x:cfRule type="cellIs" dxfId="0" priority="1" operator="lessThan">
      <x:formula>-1e-7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.110000610351562" hidden="0" customWidth="1"/>
    <x:col min="2" max="2" width="12.779999732971191" hidden="0" customWidth="1"/>
    <x:col min="3" max="3" width="9.109999656677246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9.109999656677246" hidden="0" customWidth="1"/>
    <x:col min="8" max="8" width="9.109999656677246" hidden="0" customWidth="1"/>
    <x:col min="9" max="9" width="9.109999656677246" hidden="0" customWidth="1"/>
    <x:col min="10" max="10" width="9.109999656677246" hidden="0" customWidth="1"/>
    <x:col min="11" max="11" width="9.109999656677246" hidden="0" customWidth="1"/>
    <x:col min="12" max="12" width="9.109999656677246" hidden="0" customWidth="1"/>
    <x:col min="13" max="13" width="9.109999656677246" hidden="0" customWidth="1"/>
    <x:col min="14" max="14" width="12.779999732971191" hidden="0" customWidth="1"/>
  </x:cols>
  <x:sheetData>
    <x:row r="1" ht="24" customHeight="1">
      <x:c r="A1" s="3" t="str">
        <x:v>Симплекс-метод в формулах Excel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2" t="str">
        <x:v>Номера переменных: 1–3 = x1–x3; 4–11 = остатки s1–s8. Строка Z содержит коэффициенты z_j − c_j.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Выбор: самый отрицательный коэффициент; затем минимальное неотрицательное отношение. Допуск 10⁻⁸.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 t="str">
        <x:v>Начальная таблица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7" t="str">
        <x:v>Базис №</x:v>
      </x:c>
      <x:c r="B6" s="7" t="str">
        <x:v>b</x:v>
      </x:c>
      <x:c r="C6" s="7" t="str">
        <x:v>x1</x:v>
      </x:c>
      <x:c r="D6" s="7" t="str">
        <x:v>x2</x:v>
      </x:c>
      <x:c r="E6" s="7" t="str">
        <x:v>x3</x:v>
      </x:c>
      <x:c r="F6" s="7" t="str">
        <x:v>s1</x:v>
      </x:c>
      <x:c r="G6" s="7" t="str">
        <x:v>s2</x:v>
      </x:c>
      <x:c r="H6" s="7" t="str">
        <x:v>s3</x:v>
      </x:c>
      <x:c r="I6" s="7" t="str">
        <x:v>s4</x:v>
      </x:c>
      <x:c r="J6" s="7" t="str">
        <x:v>s5</x:v>
      </x:c>
      <x:c r="K6" s="7" t="str">
        <x:v>s6</x:v>
      </x:c>
      <x:c r="L6" s="7" t="str">
        <x:v>s7</x:v>
      </x:c>
      <x:c r="M6" s="7" t="str">
        <x:v>s8</x:v>
      </x:c>
      <x:c r="N6" s="7" t="str">
        <x:v>b / a</x:v>
      </x:c>
    </x:row>
    <x:row r="7" ht="24" customHeight="1">
      <x:c r="A7" s="2" t="n">
        <x:v>4</x:v>
      </x:c>
      <x:c r="B7" s="17" t="n">
        <x:f>'Модель'!E15</x:f>
        <x:v>160</x:v>
      </x:c>
      <x:c r="C7" s="17" t="n">
        <x:f>'Модель'!B15</x:f>
        <x:v>1</x:v>
      </x:c>
      <x:c r="D7" s="17" t="n">
        <x:f>'Модель'!C15</x:f>
        <x:v>2</x:v>
      </x:c>
      <x:c r="E7" s="17" t="n">
        <x:f>'Модель'!D15</x:f>
        <x:v>2</x:v>
      </x:c>
      <x:c r="F7" s="17" t="n">
        <x:v>1</x:v>
      </x:c>
      <x:c r="G7" s="17" t="n">
        <x:v>0</x:v>
      </x:c>
      <x:c r="H7" s="17" t="n">
        <x:v>0</x:v>
      </x:c>
      <x:c r="I7" s="17" t="n">
        <x:v>0</x:v>
      </x:c>
      <x:c r="J7" s="17" t="n">
        <x:v>0</x:v>
      </x:c>
      <x:c r="K7" s="17" t="n">
        <x:v>0</x:v>
      </x:c>
      <x:c r="L7" s="17" t="n">
        <x:v>0</x:v>
      </x:c>
      <x:c r="M7" s="17" t="n">
        <x:v>0</x:v>
      </x:c>
      <x:c r="N7" s="17" t="n">
        <x:f>IF($C$17=0,"",IF(INDEX(C7:M7,1,$C$17)&gt;1E-8,B7/INDEX(C7:M7,1,$C$17),""))</x:f>
        <x:v>80</x:v>
      </x:c>
    </x:row>
    <x:row r="8" ht="24" customHeight="1">
      <x:c r="A8" s="2" t="n">
        <x:v>5</x:v>
      </x:c>
      <x:c r="B8" s="17" t="n">
        <x:f>'Модель'!E16</x:f>
        <x:v>130</x:v>
      </x:c>
      <x:c r="C8" s="17" t="n">
        <x:f>'Модель'!B16</x:f>
        <x:v>1</x:v>
      </x:c>
      <x:c r="D8" s="17" t="n">
        <x:f>'Модель'!C16</x:f>
        <x:v>1</x:v>
      </x:c>
      <x:c r="E8" s="17" t="n">
        <x:f>'Модель'!D16</x:f>
        <x:v>2</x:v>
      </x:c>
      <x:c r="F8" s="17" t="n">
        <x:v>0</x:v>
      </x:c>
      <x:c r="G8" s="17" t="n">
        <x:v>1</x:v>
      </x:c>
      <x:c r="H8" s="17" t="n">
        <x:v>0</x:v>
      </x:c>
      <x:c r="I8" s="17" t="n">
        <x:v>0</x:v>
      </x:c>
      <x:c r="J8" s="17" t="n">
        <x:v>0</x:v>
      </x:c>
      <x:c r="K8" s="17" t="n">
        <x:v>0</x:v>
      </x:c>
      <x:c r="L8" s="17" t="n">
        <x:v>0</x:v>
      </x:c>
      <x:c r="M8" s="17" t="n">
        <x:v>0</x:v>
      </x:c>
      <x:c r="N8" s="17" t="n">
        <x:f>IF($C$17=0,"",IF(INDEX(C8:M8,1,$C$17)&gt;1E-8,B8/INDEX(C8:M8,1,$C$17),""))</x:f>
        <x:v>65</x:v>
      </x:c>
    </x:row>
    <x:row r="9" ht="24" customHeight="1">
      <x:c r="A9" s="2" t="n">
        <x:v>6</x:v>
      </x:c>
      <x:c r="B9" s="17" t="n">
        <x:f>'Модель'!E17</x:f>
        <x:v>160</x:v>
      </x:c>
      <x:c r="C9" s="17" t="n">
        <x:f>'Модель'!B17</x:f>
        <x:v>1</x:v>
      </x:c>
      <x:c r="D9" s="17" t="n">
        <x:f>'Модель'!C17</x:f>
        <x:v>2</x:v>
      </x:c>
      <x:c r="E9" s="17" t="n">
        <x:f>'Модель'!D17</x:f>
        <x:v>3</x:v>
      </x:c>
      <x:c r="F9" s="17" t="n">
        <x:v>0</x:v>
      </x:c>
      <x:c r="G9" s="17" t="n">
        <x:v>0</x:v>
      </x:c>
      <x:c r="H9" s="17" t="n">
        <x:v>1</x:v>
      </x:c>
      <x:c r="I9" s="17" t="n">
        <x:v>0</x:v>
      </x:c>
      <x:c r="J9" s="17" t="n">
        <x:v>0</x:v>
      </x:c>
      <x:c r="K9" s="17" t="n">
        <x:v>0</x:v>
      </x:c>
      <x:c r="L9" s="17" t="n">
        <x:v>0</x:v>
      </x:c>
      <x:c r="M9" s="17" t="n">
        <x:v>0</x:v>
      </x:c>
      <x:c r="N9" s="17" t="n">
        <x:f>IF($C$17=0,"",IF(INDEX(C9:M9,1,$C$17)&gt;1E-8,B9/INDEX(C9:M9,1,$C$17),""))</x:f>
        <x:v>53.333333333333336</x:v>
      </x:c>
    </x:row>
    <x:row r="10" ht="24" customHeight="1">
      <x:c r="A10" s="2" t="n">
        <x:v>7</x:v>
      </x:c>
      <x:c r="B10" s="17" t="n">
        <x:f>'Модель'!E18</x:f>
        <x:v>130</x:v>
      </x:c>
      <x:c r="C10" s="17" t="n">
        <x:f>'Модель'!B18</x:f>
        <x:v>1</x:v>
      </x:c>
      <x:c r="D10" s="17" t="n">
        <x:f>'Модель'!C18</x:f>
        <x:v>1</x:v>
      </x:c>
      <x:c r="E10" s="17" t="n">
        <x:f>'Модель'!D18</x:f>
        <x:v>3</x:v>
      </x:c>
      <x:c r="F10" s="17" t="n">
        <x:v>0</x:v>
      </x:c>
      <x:c r="G10" s="17" t="n">
        <x:v>0</x:v>
      </x:c>
      <x:c r="H10" s="17" t="n">
        <x:v>0</x:v>
      </x:c>
      <x:c r="I10" s="17" t="n">
        <x:v>1</x:v>
      </x:c>
      <x:c r="J10" s="17" t="n">
        <x:v>0</x:v>
      </x:c>
      <x:c r="K10" s="17" t="n">
        <x:v>0</x:v>
      </x:c>
      <x:c r="L10" s="17" t="n">
        <x:v>0</x:v>
      </x:c>
      <x:c r="M10" s="17" t="n">
        <x:v>0</x:v>
      </x:c>
      <x:c r="N10" s="17" t="n">
        <x:f>IF($C$17=0,"",IF(INDEX(C10:M10,1,$C$17)&gt;1E-8,B10/INDEX(C10:M10,1,$C$17),""))</x:f>
        <x:v>43.333333333333336</x:v>
      </x:c>
    </x:row>
    <x:row r="11" ht="24" customHeight="1">
      <x:c r="A11" s="2" t="n">
        <x:v>8</x:v>
      </x:c>
      <x:c r="B11" s="17" t="n">
        <x:f>'Модель'!E19</x:f>
        <x:v>300</x:v>
      </x:c>
      <x:c r="C11" s="17" t="n">
        <x:f>'Модель'!B19</x:f>
        <x:v>2</x:v>
      </x:c>
      <x:c r="D11" s="17" t="n">
        <x:f>'Модель'!C19</x:f>
        <x:v>4</x:v>
      </x:c>
      <x:c r="E11" s="17" t="n">
        <x:f>'Модель'!D19</x:f>
        <x:v>5</x:v>
      </x:c>
      <x:c r="F11" s="17" t="n">
        <x:v>0</x:v>
      </x:c>
      <x:c r="G11" s="17" t="n">
        <x:v>0</x:v>
      </x:c>
      <x:c r="H11" s="17" t="n">
        <x:v>0</x:v>
      </x:c>
      <x:c r="I11" s="17" t="n">
        <x:v>0</x:v>
      </x:c>
      <x:c r="J11" s="17" t="n">
        <x:v>1</x:v>
      </x:c>
      <x:c r="K11" s="17" t="n">
        <x:v>0</x:v>
      </x:c>
      <x:c r="L11" s="17" t="n">
        <x:v>0</x:v>
      </x:c>
      <x:c r="M11" s="17" t="n">
        <x:v>0</x:v>
      </x:c>
      <x:c r="N11" s="17" t="n">
        <x:f>IF($C$17=0,"",IF(INDEX(C11:M11,1,$C$17)&gt;1E-8,B11/INDEX(C11:M11,1,$C$17),""))</x:f>
        <x:v>60</x:v>
      </x:c>
    </x:row>
    <x:row r="12" ht="24" customHeight="1">
      <x:c r="A12" s="2" t="n">
        <x:v>9</x:v>
      </x:c>
      <x:c r="B12" s="17" t="n">
        <x:f>'Модель'!E20</x:f>
        <x:v>60</x:v>
      </x:c>
      <x:c r="C12" s="17" t="n">
        <x:f>'Модель'!B20</x:f>
        <x:v>1</x:v>
      </x:c>
      <x:c r="D12" s="17" t="n">
        <x:f>'Модель'!C20</x:f>
        <x:v>0</x:v>
      </x:c>
      <x:c r="E12" s="17" t="n">
        <x:f>'Модель'!D20</x:f>
        <x:v>0</x:v>
      </x:c>
      <x:c r="F12" s="17" t="n">
        <x:v>0</x:v>
      </x:c>
      <x:c r="G12" s="17" t="n">
        <x:v>0</x:v>
      </x:c>
      <x:c r="H12" s="17" t="n">
        <x:v>0</x:v>
      </x:c>
      <x:c r="I12" s="17" t="n">
        <x:v>0</x:v>
      </x:c>
      <x:c r="J12" s="17" t="n">
        <x:v>0</x:v>
      </x:c>
      <x:c r="K12" s="17" t="n">
        <x:v>1</x:v>
      </x:c>
      <x:c r="L12" s="17" t="n">
        <x:v>0</x:v>
      </x:c>
      <x:c r="M12" s="17" t="n">
        <x:v>0</x:v>
      </x:c>
      <x:c r="N12" s="17" t="str">
        <x:f>IF($C$17=0,"",IF(INDEX(C12:M12,1,$C$17)&gt;1E-8,B12/INDEX(C12:M12,1,$C$17),""))</x:f>
      </x:c>
    </x:row>
    <x:row r="13" ht="24" customHeight="1">
      <x:c r="A13" s="2" t="n">
        <x:v>10</x:v>
      </x:c>
      <x:c r="B13" s="17" t="n">
        <x:f>'Модель'!E21</x:f>
        <x:v>50</x:v>
      </x:c>
      <x:c r="C13" s="17" t="n">
        <x:f>'Модель'!B21</x:f>
        <x:v>0</x:v>
      </x:c>
      <x:c r="D13" s="17" t="n">
        <x:f>'Модель'!C21</x:f>
        <x:v>1</x:v>
      </x:c>
      <x:c r="E13" s="17" t="n">
        <x:f>'Модель'!D21</x:f>
        <x:v>0</x:v>
      </x:c>
      <x:c r="F13" s="17" t="n">
        <x:v>0</x:v>
      </x:c>
      <x:c r="G13" s="17" t="n">
        <x:v>0</x:v>
      </x:c>
      <x:c r="H13" s="17" t="n">
        <x:v>0</x:v>
      </x:c>
      <x:c r="I13" s="17" t="n">
        <x:v>0</x:v>
      </x:c>
      <x:c r="J13" s="17" t="n">
        <x:v>0</x:v>
      </x:c>
      <x:c r="K13" s="17" t="n">
        <x:v>0</x:v>
      </x:c>
      <x:c r="L13" s="17" t="n">
        <x:v>1</x:v>
      </x:c>
      <x:c r="M13" s="17" t="n">
        <x:v>0</x:v>
      </x:c>
      <x:c r="N13" s="17" t="str">
        <x:f>IF($C$17=0,"",IF(INDEX(C13:M13,1,$C$17)&gt;1E-8,B13/INDEX(C13:M13,1,$C$17),""))</x:f>
      </x:c>
    </x:row>
    <x:row r="14" ht="24" customHeight="1">
      <x:c r="A14" s="2" t="n">
        <x:v>11</x:v>
      </x:c>
      <x:c r="B14" s="17" t="n">
        <x:f>'Модель'!E22</x:f>
        <x:v>40</x:v>
      </x:c>
      <x:c r="C14" s="17" t="n">
        <x:f>'Модель'!B22</x:f>
        <x:v>0</x:v>
      </x:c>
      <x:c r="D14" s="17" t="n">
        <x:f>'Модель'!C22</x:f>
        <x:v>0</x:v>
      </x:c>
      <x:c r="E14" s="17" t="n">
        <x:f>'Модель'!D22</x:f>
        <x:v>1</x:v>
      </x:c>
      <x:c r="F14" s="17" t="n">
        <x:v>0</x:v>
      </x:c>
      <x:c r="G14" s="17" t="n">
        <x:v>0</x:v>
      </x:c>
      <x:c r="H14" s="17" t="n">
        <x:v>0</x:v>
      </x:c>
      <x:c r="I14" s="17" t="n">
        <x:v>0</x:v>
      </x:c>
      <x:c r="J14" s="17" t="n">
        <x:v>0</x:v>
      </x:c>
      <x:c r="K14" s="17" t="n">
        <x:v>0</x:v>
      </x:c>
      <x:c r="L14" s="17" t="n">
        <x:v>0</x:v>
      </x:c>
      <x:c r="M14" s="17" t="n">
        <x:v>1</x:v>
      </x:c>
      <x:c r="N14" s="17" t="n">
        <x:f>IF($C$17=0,"",IF(INDEX(C14:M14,1,$C$17)&gt;1E-8,B14/INDEX(C14:M14,1,$C$17),""))</x:f>
        <x:v>40</x:v>
      </x:c>
    </x:row>
    <x:row r="15" ht="24" customHeight="1">
      <x:c r="A15" s="16" t="str">
        <x:v>Z</x:v>
      </x:c>
      <x:c r="B15" s="18" t="n">
        <x:v>0</x:v>
      </x:c>
      <x:c r="C15" s="18" t="n">
        <x:f>-'Модель'!B11</x:f>
        <x:v>-5000</x:v>
      </x:c>
      <x:c r="D15" s="18" t="n">
        <x:f>-'Модель'!C11</x:f>
        <x:v>-8000</x:v>
      </x:c>
      <x:c r="E15" s="18" t="n">
        <x:f>-'Модель'!D11</x:f>
        <x:v>-14000</x:v>
      </x:c>
      <x:c r="F15" s="18" t="n">
        <x:v>0</x:v>
      </x:c>
      <x:c r="G15" s="18" t="n">
        <x:v>0</x:v>
      </x:c>
      <x:c r="H15" s="18" t="n">
        <x:v>0</x:v>
      </x:c>
      <x:c r="I15" s="18" t="n">
        <x:v>0</x:v>
      </x:c>
      <x:c r="J15" s="18" t="n">
        <x:v>0</x:v>
      </x:c>
      <x:c r="K15" s="18" t="n">
        <x:v>0</x:v>
      </x:c>
      <x:c r="L15" s="18" t="n">
        <x:v>0</x:v>
      </x:c>
      <x:c r="M15" s="18" t="n">
        <x:v>0</x:v>
      </x:c>
      <x:c r="N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 t="str">
        <x:v>Входящий №</x:v>
      </x:c>
      <x:c r="B17" s="2"/>
      <x:c r="C17" s="2" t="n">
        <x:f>IF(MIN(C15:M15)&gt;=-1E-8,0,MATCH(MIN(C15:M15),C15:M15,0))</x:f>
        <x:v>3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 t="str">
        <x:v>Выходящая строка</x:v>
      </x:c>
      <x:c r="B18" s="2"/>
      <x:c r="C18" s="2" t="n">
        <x:f>IF(C17=0,0,MATCH(MIN(N7:N14),N7:N14,0))</x:f>
        <x:v>8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customHeight="1">
      <x:c r="A19" s="2" t="str">
        <x:v>Разреш. элемент</x:v>
      </x:c>
      <x:c r="B19" s="2"/>
      <x:c r="C19" s="19" t="n">
        <x:f>IF(C17=0,1,INDEX(C7:M14,C18,C17))</x:f>
        <x:v>1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customHeight="1">
      <x:c r="A20" s="2" t="str">
        <x:v>Статус</x:v>
      </x:c>
      <x:c r="B20" s="2"/>
      <x:c r="C20" s="2" t="str">
        <x:f>IF(MIN(B7:B14)&lt;-1E-7,"Недопустимый базис",IF(C17=0,"Оптимум",IF(COUNT(N7:N14)=0,"Неограничена","Нужен переход")))</x:f>
        <x:v>Нужен переход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 t="str">
        <x:v>Таблица после перехода 1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7" t="str">
        <x:v>Базис №</x:v>
      </x:c>
      <x:c r="B23" s="7" t="str">
        <x:v>b</x:v>
      </x:c>
      <x:c r="C23" s="7" t="str">
        <x:v>x1</x:v>
      </x:c>
      <x:c r="D23" s="7" t="str">
        <x:v>x2</x:v>
      </x:c>
      <x:c r="E23" s="7" t="str">
        <x:v>x3</x:v>
      </x:c>
      <x:c r="F23" s="7" t="str">
        <x:v>s1</x:v>
      </x:c>
      <x:c r="G23" s="7" t="str">
        <x:v>s2</x:v>
      </x:c>
      <x:c r="H23" s="7" t="str">
        <x:v>s3</x:v>
      </x:c>
      <x:c r="I23" s="7" t="str">
        <x:v>s4</x:v>
      </x:c>
      <x:c r="J23" s="7" t="str">
        <x:v>s5</x:v>
      </x:c>
      <x:c r="K23" s="7" t="str">
        <x:v>s6</x:v>
      </x:c>
      <x:c r="L23" s="7" t="str">
        <x:v>s7</x:v>
      </x:c>
      <x:c r="M23" s="7" t="str">
        <x:v>s8</x:v>
      </x:c>
      <x:c r="N23" s="7" t="str">
        <x:v>b / a</x:v>
      </x:c>
    </x:row>
    <x:row r="24" ht="24" customHeight="1">
      <x:c r="A24" s="2" t="n">
        <x:f>IF($C$17=0,A7,IF(1=$C$18,$C$17,A7))</x:f>
        <x:v>4</x:v>
      </x:c>
      <x:c r="B24" s="17" t="n">
        <x:f>IF($C$17=0,B7,IF(1=$C$18,B7/$C$19,B7-INDEX($C7:$M7,1,$C$17)*INDEX(B$7:B$14,$C$18,1)/$C$19))</x:f>
        <x:v>80</x:v>
      </x:c>
      <x:c r="C24" s="17" t="n">
        <x:f>IF($C$17=0,C7,IF(1=$C$18,C7/$C$19,C7-INDEX($C7:$M7,1,$C$17)*INDEX(C$7:C$14,$C$18,1)/$C$19))</x:f>
        <x:v>1</x:v>
      </x:c>
      <x:c r="D24" s="17" t="n">
        <x:f>IF($C$17=0,D7,IF(1=$C$18,D7/$C$19,D7-INDEX($C7:$M7,1,$C$17)*INDEX(D$7:D$14,$C$18,1)/$C$19))</x:f>
        <x:v>2</x:v>
      </x:c>
      <x:c r="E24" s="17" t="n">
        <x:f>IF($C$17=0,E7,IF(1=$C$18,E7/$C$19,E7-INDEX($C7:$M7,1,$C$17)*INDEX(E$7:E$14,$C$18,1)/$C$19))</x:f>
        <x:v>0</x:v>
      </x:c>
      <x:c r="F24" s="17" t="n">
        <x:f>IF($C$17=0,F7,IF(1=$C$18,F7/$C$19,F7-INDEX($C7:$M7,1,$C$17)*INDEX(F$7:F$14,$C$18,1)/$C$19))</x:f>
        <x:v>1</x:v>
      </x:c>
      <x:c r="G24" s="17" t="n">
        <x:f>IF($C$17=0,G7,IF(1=$C$18,G7/$C$19,G7-INDEX($C7:$M7,1,$C$17)*INDEX(G$7:G$14,$C$18,1)/$C$19))</x:f>
        <x:v>0</x:v>
      </x:c>
      <x:c r="H24" s="17" t="n">
        <x:f>IF($C$17=0,H7,IF(1=$C$18,H7/$C$19,H7-INDEX($C7:$M7,1,$C$17)*INDEX(H$7:H$14,$C$18,1)/$C$19))</x:f>
        <x:v>0</x:v>
      </x:c>
      <x:c r="I24" s="17" t="n">
        <x:f>IF($C$17=0,I7,IF(1=$C$18,I7/$C$19,I7-INDEX($C7:$M7,1,$C$17)*INDEX(I$7:I$14,$C$18,1)/$C$19))</x:f>
        <x:v>0</x:v>
      </x:c>
      <x:c r="J24" s="17" t="n">
        <x:f>IF($C$17=0,J7,IF(1=$C$18,J7/$C$19,J7-INDEX($C7:$M7,1,$C$17)*INDEX(J$7:J$14,$C$18,1)/$C$19))</x:f>
        <x:v>0</x:v>
      </x:c>
      <x:c r="K24" s="17" t="n">
        <x:f>IF($C$17=0,K7,IF(1=$C$18,K7/$C$19,K7-INDEX($C7:$M7,1,$C$17)*INDEX(K$7:K$14,$C$18,1)/$C$19))</x:f>
        <x:v>0</x:v>
      </x:c>
      <x:c r="L24" s="17" t="n">
        <x:f>IF($C$17=0,L7,IF(1=$C$18,L7/$C$19,L7-INDEX($C7:$M7,1,$C$17)*INDEX(L$7:L$14,$C$18,1)/$C$19))</x:f>
        <x:v>0</x:v>
      </x:c>
      <x:c r="M24" s="17" t="n">
        <x:f>IF($C$17=0,M7,IF(1=$C$18,M7/$C$19,M7-INDEX($C7:$M7,1,$C$17)*INDEX(M$7:M$14,$C$18,1)/$C$19))</x:f>
        <x:v>-2</x:v>
      </x:c>
      <x:c r="N24" s="17" t="n">
        <x:f>IF($C$34=0,"",IF(INDEX(C24:M24,1,$C$34)&gt;1E-8,B24/INDEX(C24:M24,1,$C$34),""))</x:f>
        <x:v>40</x:v>
      </x:c>
    </x:row>
    <x:row r="25" ht="24" customHeight="1">
      <x:c r="A25" s="2" t="n">
        <x:f>IF($C$17=0,A8,IF(2=$C$18,$C$17,A8))</x:f>
        <x:v>5</x:v>
      </x:c>
      <x:c r="B25" s="17" t="n">
        <x:f>IF($C$17=0,B8,IF(2=$C$18,B8/$C$19,B8-INDEX($C8:$M8,1,$C$17)*INDEX(B$7:B$14,$C$18,1)/$C$19))</x:f>
        <x:v>50</x:v>
      </x:c>
      <x:c r="C25" s="17" t="n">
        <x:f>IF($C$17=0,C8,IF(2=$C$18,C8/$C$19,C8-INDEX($C8:$M8,1,$C$17)*INDEX(C$7:C$14,$C$18,1)/$C$19))</x:f>
        <x:v>1</x:v>
      </x:c>
      <x:c r="D25" s="17" t="n">
        <x:f>IF($C$17=0,D8,IF(2=$C$18,D8/$C$19,D8-INDEX($C8:$M8,1,$C$17)*INDEX(D$7:D$14,$C$18,1)/$C$19))</x:f>
        <x:v>1</x:v>
      </x:c>
      <x:c r="E25" s="17" t="n">
        <x:f>IF($C$17=0,E8,IF(2=$C$18,E8/$C$19,E8-INDEX($C8:$M8,1,$C$17)*INDEX(E$7:E$14,$C$18,1)/$C$19))</x:f>
        <x:v>0</x:v>
      </x:c>
      <x:c r="F25" s="17" t="n">
        <x:f>IF($C$17=0,F8,IF(2=$C$18,F8/$C$19,F8-INDEX($C8:$M8,1,$C$17)*INDEX(F$7:F$14,$C$18,1)/$C$19))</x:f>
        <x:v>0</x:v>
      </x:c>
      <x:c r="G25" s="17" t="n">
        <x:f>IF($C$17=0,G8,IF(2=$C$18,G8/$C$19,G8-INDEX($C8:$M8,1,$C$17)*INDEX(G$7:G$14,$C$18,1)/$C$19))</x:f>
        <x:v>1</x:v>
      </x:c>
      <x:c r="H25" s="17" t="n">
        <x:f>IF($C$17=0,H8,IF(2=$C$18,H8/$C$19,H8-INDEX($C8:$M8,1,$C$17)*INDEX(H$7:H$14,$C$18,1)/$C$19))</x:f>
        <x:v>0</x:v>
      </x:c>
      <x:c r="I25" s="17" t="n">
        <x:f>IF($C$17=0,I8,IF(2=$C$18,I8/$C$19,I8-INDEX($C8:$M8,1,$C$17)*INDEX(I$7:I$14,$C$18,1)/$C$19))</x:f>
        <x:v>0</x:v>
      </x:c>
      <x:c r="J25" s="17" t="n">
        <x:f>IF($C$17=0,J8,IF(2=$C$18,J8/$C$19,J8-INDEX($C8:$M8,1,$C$17)*INDEX(J$7:J$14,$C$18,1)/$C$19))</x:f>
        <x:v>0</x:v>
      </x:c>
      <x:c r="K25" s="17" t="n">
        <x:f>IF($C$17=0,K8,IF(2=$C$18,K8/$C$19,K8-INDEX($C8:$M8,1,$C$17)*INDEX(K$7:K$14,$C$18,1)/$C$19))</x:f>
        <x:v>0</x:v>
      </x:c>
      <x:c r="L25" s="17" t="n">
        <x:f>IF($C$17=0,L8,IF(2=$C$18,L8/$C$19,L8-INDEX($C8:$M8,1,$C$17)*INDEX(L$7:L$14,$C$18,1)/$C$19))</x:f>
        <x:v>0</x:v>
      </x:c>
      <x:c r="M25" s="17" t="n">
        <x:f>IF($C$17=0,M8,IF(2=$C$18,M8/$C$19,M8-INDEX($C8:$M8,1,$C$17)*INDEX(M$7:M$14,$C$18,1)/$C$19))</x:f>
        <x:v>-2</x:v>
      </x:c>
      <x:c r="N25" s="17" t="n">
        <x:f>IF($C$34=0,"",IF(INDEX(C25:M25,1,$C$34)&gt;1E-8,B25/INDEX(C25:M25,1,$C$34),""))</x:f>
        <x:v>50</x:v>
      </x:c>
    </x:row>
    <x:row r="26" ht="24" customHeight="1">
      <x:c r="A26" s="2" t="n">
        <x:f>IF($C$17=0,A9,IF(3=$C$18,$C$17,A9))</x:f>
        <x:v>6</x:v>
      </x:c>
      <x:c r="B26" s="17" t="n">
        <x:f>IF($C$17=0,B9,IF(3=$C$18,B9/$C$19,B9-INDEX($C9:$M9,1,$C$17)*INDEX(B$7:B$14,$C$18,1)/$C$19))</x:f>
        <x:v>40</x:v>
      </x:c>
      <x:c r="C26" s="17" t="n">
        <x:f>IF($C$17=0,C9,IF(3=$C$18,C9/$C$19,C9-INDEX($C9:$M9,1,$C$17)*INDEX(C$7:C$14,$C$18,1)/$C$19))</x:f>
        <x:v>1</x:v>
      </x:c>
      <x:c r="D26" s="17" t="n">
        <x:f>IF($C$17=0,D9,IF(3=$C$18,D9/$C$19,D9-INDEX($C9:$M9,1,$C$17)*INDEX(D$7:D$14,$C$18,1)/$C$19))</x:f>
        <x:v>2</x:v>
      </x:c>
      <x:c r="E26" s="17" t="n">
        <x:f>IF($C$17=0,E9,IF(3=$C$18,E9/$C$19,E9-INDEX($C9:$M9,1,$C$17)*INDEX(E$7:E$14,$C$18,1)/$C$19))</x:f>
        <x:v>0</x:v>
      </x:c>
      <x:c r="F26" s="17" t="n">
        <x:f>IF($C$17=0,F9,IF(3=$C$18,F9/$C$19,F9-INDEX($C9:$M9,1,$C$17)*INDEX(F$7:F$14,$C$18,1)/$C$19))</x:f>
        <x:v>0</x:v>
      </x:c>
      <x:c r="G26" s="17" t="n">
        <x:f>IF($C$17=0,G9,IF(3=$C$18,G9/$C$19,G9-INDEX($C9:$M9,1,$C$17)*INDEX(G$7:G$14,$C$18,1)/$C$19))</x:f>
        <x:v>0</x:v>
      </x:c>
      <x:c r="H26" s="17" t="n">
        <x:f>IF($C$17=0,H9,IF(3=$C$18,H9/$C$19,H9-INDEX($C9:$M9,1,$C$17)*INDEX(H$7:H$14,$C$18,1)/$C$19))</x:f>
        <x:v>1</x:v>
      </x:c>
      <x:c r="I26" s="17" t="n">
        <x:f>IF($C$17=0,I9,IF(3=$C$18,I9/$C$19,I9-INDEX($C9:$M9,1,$C$17)*INDEX(I$7:I$14,$C$18,1)/$C$19))</x:f>
        <x:v>0</x:v>
      </x:c>
      <x:c r="J26" s="17" t="n">
        <x:f>IF($C$17=0,J9,IF(3=$C$18,J9/$C$19,J9-INDEX($C9:$M9,1,$C$17)*INDEX(J$7:J$14,$C$18,1)/$C$19))</x:f>
        <x:v>0</x:v>
      </x:c>
      <x:c r="K26" s="17" t="n">
        <x:f>IF($C$17=0,K9,IF(3=$C$18,K9/$C$19,K9-INDEX($C9:$M9,1,$C$17)*INDEX(K$7:K$14,$C$18,1)/$C$19))</x:f>
        <x:v>0</x:v>
      </x:c>
      <x:c r="L26" s="17" t="n">
        <x:f>IF($C$17=0,L9,IF(3=$C$18,L9/$C$19,L9-INDEX($C9:$M9,1,$C$17)*INDEX(L$7:L$14,$C$18,1)/$C$19))</x:f>
        <x:v>0</x:v>
      </x:c>
      <x:c r="M26" s="17" t="n">
        <x:f>IF($C$17=0,M9,IF(3=$C$18,M9/$C$19,M9-INDEX($C9:$M9,1,$C$17)*INDEX(M$7:M$14,$C$18,1)/$C$19))</x:f>
        <x:v>-3</x:v>
      </x:c>
      <x:c r="N26" s="17" t="n">
        <x:f>IF($C$34=0,"",IF(INDEX(C26:M26,1,$C$34)&gt;1E-8,B26/INDEX(C26:M26,1,$C$34),""))</x:f>
        <x:v>20</x:v>
      </x:c>
    </x:row>
    <x:row r="27" ht="24" customHeight="1">
      <x:c r="A27" s="2" t="n">
        <x:f>IF($C$17=0,A10,IF(4=$C$18,$C$17,A10))</x:f>
        <x:v>7</x:v>
      </x:c>
      <x:c r="B27" s="17" t="n">
        <x:f>IF($C$17=0,B10,IF(4=$C$18,B10/$C$19,B10-INDEX($C10:$M10,1,$C$17)*INDEX(B$7:B$14,$C$18,1)/$C$19))</x:f>
        <x:v>10</x:v>
      </x:c>
      <x:c r="C27" s="17" t="n">
        <x:f>IF($C$17=0,C10,IF(4=$C$18,C10/$C$19,C10-INDEX($C10:$M10,1,$C$17)*INDEX(C$7:C$14,$C$18,1)/$C$19))</x:f>
        <x:v>1</x:v>
      </x:c>
      <x:c r="D27" s="17" t="n">
        <x:f>IF($C$17=0,D10,IF(4=$C$18,D10/$C$19,D10-INDEX($C10:$M10,1,$C$17)*INDEX(D$7:D$14,$C$18,1)/$C$19))</x:f>
        <x:v>1</x:v>
      </x:c>
      <x:c r="E27" s="17" t="n">
        <x:f>IF($C$17=0,E10,IF(4=$C$18,E10/$C$19,E10-INDEX($C10:$M10,1,$C$17)*INDEX(E$7:E$14,$C$18,1)/$C$19))</x:f>
        <x:v>0</x:v>
      </x:c>
      <x:c r="F27" s="17" t="n">
        <x:f>IF($C$17=0,F10,IF(4=$C$18,F10/$C$19,F10-INDEX($C10:$M10,1,$C$17)*INDEX(F$7:F$14,$C$18,1)/$C$19))</x:f>
        <x:v>0</x:v>
      </x:c>
      <x:c r="G27" s="17" t="n">
        <x:f>IF($C$17=0,G10,IF(4=$C$18,G10/$C$19,G10-INDEX($C10:$M10,1,$C$17)*INDEX(G$7:G$14,$C$18,1)/$C$19))</x:f>
        <x:v>0</x:v>
      </x:c>
      <x:c r="H27" s="17" t="n">
        <x:f>IF($C$17=0,H10,IF(4=$C$18,H10/$C$19,H10-INDEX($C10:$M10,1,$C$17)*INDEX(H$7:H$14,$C$18,1)/$C$19))</x:f>
        <x:v>0</x:v>
      </x:c>
      <x:c r="I27" s="17" t="n">
        <x:f>IF($C$17=0,I10,IF(4=$C$18,I10/$C$19,I10-INDEX($C10:$M10,1,$C$17)*INDEX(I$7:I$14,$C$18,1)/$C$19))</x:f>
        <x:v>1</x:v>
      </x:c>
      <x:c r="J27" s="17" t="n">
        <x:f>IF($C$17=0,J10,IF(4=$C$18,J10/$C$19,J10-INDEX($C10:$M10,1,$C$17)*INDEX(J$7:J$14,$C$18,1)/$C$19))</x:f>
        <x:v>0</x:v>
      </x:c>
      <x:c r="K27" s="17" t="n">
        <x:f>IF($C$17=0,K10,IF(4=$C$18,K10/$C$19,K10-INDEX($C10:$M10,1,$C$17)*INDEX(K$7:K$14,$C$18,1)/$C$19))</x:f>
        <x:v>0</x:v>
      </x:c>
      <x:c r="L27" s="17" t="n">
        <x:f>IF($C$17=0,L10,IF(4=$C$18,L10/$C$19,L10-INDEX($C10:$M10,1,$C$17)*INDEX(L$7:L$14,$C$18,1)/$C$19))</x:f>
        <x:v>0</x:v>
      </x:c>
      <x:c r="M27" s="17" t="n">
        <x:f>IF($C$17=0,M10,IF(4=$C$18,M10/$C$19,M10-INDEX($C10:$M10,1,$C$17)*INDEX(M$7:M$14,$C$18,1)/$C$19))</x:f>
        <x:v>-3</x:v>
      </x:c>
      <x:c r="N27" s="17" t="n">
        <x:f>IF($C$34=0,"",IF(INDEX(C27:M27,1,$C$34)&gt;1E-8,B27/INDEX(C27:M27,1,$C$34),""))</x:f>
        <x:v>10</x:v>
      </x:c>
    </x:row>
    <x:row r="28" ht="24" customHeight="1">
      <x:c r="A28" s="2" t="n">
        <x:f>IF($C$17=0,A11,IF(5=$C$18,$C$17,A11))</x:f>
        <x:v>8</x:v>
      </x:c>
      <x:c r="B28" s="17" t="n">
        <x:f>IF($C$17=0,B11,IF(5=$C$18,B11/$C$19,B11-INDEX($C11:$M11,1,$C$17)*INDEX(B$7:B$14,$C$18,1)/$C$19))</x:f>
        <x:v>100</x:v>
      </x:c>
      <x:c r="C28" s="17" t="n">
        <x:f>IF($C$17=0,C11,IF(5=$C$18,C11/$C$19,C11-INDEX($C11:$M11,1,$C$17)*INDEX(C$7:C$14,$C$18,1)/$C$19))</x:f>
        <x:v>2</x:v>
      </x:c>
      <x:c r="D28" s="17" t="n">
        <x:f>IF($C$17=0,D11,IF(5=$C$18,D11/$C$19,D11-INDEX($C11:$M11,1,$C$17)*INDEX(D$7:D$14,$C$18,1)/$C$19))</x:f>
        <x:v>4</x:v>
      </x:c>
      <x:c r="E28" s="17" t="n">
        <x:f>IF($C$17=0,E11,IF(5=$C$18,E11/$C$19,E11-INDEX($C11:$M11,1,$C$17)*INDEX(E$7:E$14,$C$18,1)/$C$19))</x:f>
        <x:v>0</x:v>
      </x:c>
      <x:c r="F28" s="17" t="n">
        <x:f>IF($C$17=0,F11,IF(5=$C$18,F11/$C$19,F11-INDEX($C11:$M11,1,$C$17)*INDEX(F$7:F$14,$C$18,1)/$C$19))</x:f>
        <x:v>0</x:v>
      </x:c>
      <x:c r="G28" s="17" t="n">
        <x:f>IF($C$17=0,G11,IF(5=$C$18,G11/$C$19,G11-INDEX($C11:$M11,1,$C$17)*INDEX(G$7:G$14,$C$18,1)/$C$19))</x:f>
        <x:v>0</x:v>
      </x:c>
      <x:c r="H28" s="17" t="n">
        <x:f>IF($C$17=0,H11,IF(5=$C$18,H11/$C$19,H11-INDEX($C11:$M11,1,$C$17)*INDEX(H$7:H$14,$C$18,1)/$C$19))</x:f>
        <x:v>0</x:v>
      </x:c>
      <x:c r="I28" s="17" t="n">
        <x:f>IF($C$17=0,I11,IF(5=$C$18,I11/$C$19,I11-INDEX($C11:$M11,1,$C$17)*INDEX(I$7:I$14,$C$18,1)/$C$19))</x:f>
        <x:v>0</x:v>
      </x:c>
      <x:c r="J28" s="17" t="n">
        <x:f>IF($C$17=0,J11,IF(5=$C$18,J11/$C$19,J11-INDEX($C11:$M11,1,$C$17)*INDEX(J$7:J$14,$C$18,1)/$C$19))</x:f>
        <x:v>1</x:v>
      </x:c>
      <x:c r="K28" s="17" t="n">
        <x:f>IF($C$17=0,K11,IF(5=$C$18,K11/$C$19,K11-INDEX($C11:$M11,1,$C$17)*INDEX(K$7:K$14,$C$18,1)/$C$19))</x:f>
        <x:v>0</x:v>
      </x:c>
      <x:c r="L28" s="17" t="n">
        <x:f>IF($C$17=0,L11,IF(5=$C$18,L11/$C$19,L11-INDEX($C11:$M11,1,$C$17)*INDEX(L$7:L$14,$C$18,1)/$C$19))</x:f>
        <x:v>0</x:v>
      </x:c>
      <x:c r="M28" s="17" t="n">
        <x:f>IF($C$17=0,M11,IF(5=$C$18,M11/$C$19,M11-INDEX($C11:$M11,1,$C$17)*INDEX(M$7:M$14,$C$18,1)/$C$19))</x:f>
        <x:v>-5</x:v>
      </x:c>
      <x:c r="N28" s="17" t="n">
        <x:f>IF($C$34=0,"",IF(INDEX(C28:M28,1,$C$34)&gt;1E-8,B28/INDEX(C28:M28,1,$C$34),""))</x:f>
        <x:v>25</x:v>
      </x:c>
    </x:row>
    <x:row r="29" ht="24" customHeight="1">
      <x:c r="A29" s="2" t="n">
        <x:f>IF($C$17=0,A12,IF(6=$C$18,$C$17,A12))</x:f>
        <x:v>9</x:v>
      </x:c>
      <x:c r="B29" s="17" t="n">
        <x:f>IF($C$17=0,B12,IF(6=$C$18,B12/$C$19,B12-INDEX($C12:$M12,1,$C$17)*INDEX(B$7:B$14,$C$18,1)/$C$19))</x:f>
        <x:v>60</x:v>
      </x:c>
      <x:c r="C29" s="17" t="n">
        <x:f>IF($C$17=0,C12,IF(6=$C$18,C12/$C$19,C12-INDEX($C12:$M12,1,$C$17)*INDEX(C$7:C$14,$C$18,1)/$C$19))</x:f>
        <x:v>1</x:v>
      </x:c>
      <x:c r="D29" s="17" t="n">
        <x:f>IF($C$17=0,D12,IF(6=$C$18,D12/$C$19,D12-INDEX($C12:$M12,1,$C$17)*INDEX(D$7:D$14,$C$18,1)/$C$19))</x:f>
        <x:v>0</x:v>
      </x:c>
      <x:c r="E29" s="17" t="n">
        <x:f>IF($C$17=0,E12,IF(6=$C$18,E12/$C$19,E12-INDEX($C12:$M12,1,$C$17)*INDEX(E$7:E$14,$C$18,1)/$C$19))</x:f>
        <x:v>0</x:v>
      </x:c>
      <x:c r="F29" s="17" t="n">
        <x:f>IF($C$17=0,F12,IF(6=$C$18,F12/$C$19,F12-INDEX($C12:$M12,1,$C$17)*INDEX(F$7:F$14,$C$18,1)/$C$19))</x:f>
        <x:v>0</x:v>
      </x:c>
      <x:c r="G29" s="17" t="n">
        <x:f>IF($C$17=0,G12,IF(6=$C$18,G12/$C$19,G12-INDEX($C12:$M12,1,$C$17)*INDEX(G$7:G$14,$C$18,1)/$C$19))</x:f>
        <x:v>0</x:v>
      </x:c>
      <x:c r="H29" s="17" t="n">
        <x:f>IF($C$17=0,H12,IF(6=$C$18,H12/$C$19,H12-INDEX($C12:$M12,1,$C$17)*INDEX(H$7:H$14,$C$18,1)/$C$19))</x:f>
        <x:v>0</x:v>
      </x:c>
      <x:c r="I29" s="17" t="n">
        <x:f>IF($C$17=0,I12,IF(6=$C$18,I12/$C$19,I12-INDEX($C12:$M12,1,$C$17)*INDEX(I$7:I$14,$C$18,1)/$C$19))</x:f>
        <x:v>0</x:v>
      </x:c>
      <x:c r="J29" s="17" t="n">
        <x:f>IF($C$17=0,J12,IF(6=$C$18,J12/$C$19,J12-INDEX($C12:$M12,1,$C$17)*INDEX(J$7:J$14,$C$18,1)/$C$19))</x:f>
        <x:v>0</x:v>
      </x:c>
      <x:c r="K29" s="17" t="n">
        <x:f>IF($C$17=0,K12,IF(6=$C$18,K12/$C$19,K12-INDEX($C12:$M12,1,$C$17)*INDEX(K$7:K$14,$C$18,1)/$C$19))</x:f>
        <x:v>1</x:v>
      </x:c>
      <x:c r="L29" s="17" t="n">
        <x:f>IF($C$17=0,L12,IF(6=$C$18,L12/$C$19,L12-INDEX($C12:$M12,1,$C$17)*INDEX(L$7:L$14,$C$18,1)/$C$19))</x:f>
        <x:v>0</x:v>
      </x:c>
      <x:c r="M29" s="17" t="n">
        <x:f>IF($C$17=0,M12,IF(6=$C$18,M12/$C$19,M12-INDEX($C12:$M12,1,$C$17)*INDEX(M$7:M$14,$C$18,1)/$C$19))</x:f>
        <x:v>0</x:v>
      </x:c>
      <x:c r="N29" s="17" t="str">
        <x:f>IF($C$34=0,"",IF(INDEX(C29:M29,1,$C$34)&gt;1E-8,B29/INDEX(C29:M29,1,$C$34),""))</x:f>
      </x:c>
    </x:row>
    <x:row r="30" ht="24" customHeight="1">
      <x:c r="A30" s="2" t="n">
        <x:f>IF($C$17=0,A13,IF(7=$C$18,$C$17,A13))</x:f>
        <x:v>10</x:v>
      </x:c>
      <x:c r="B30" s="17" t="n">
        <x:f>IF($C$17=0,B13,IF(7=$C$18,B13/$C$19,B13-INDEX($C13:$M13,1,$C$17)*INDEX(B$7:B$14,$C$18,1)/$C$19))</x:f>
        <x:v>50</x:v>
      </x:c>
      <x:c r="C30" s="17" t="n">
        <x:f>IF($C$17=0,C13,IF(7=$C$18,C13/$C$19,C13-INDEX($C13:$M13,1,$C$17)*INDEX(C$7:C$14,$C$18,1)/$C$19))</x:f>
        <x:v>0</x:v>
      </x:c>
      <x:c r="D30" s="17" t="n">
        <x:f>IF($C$17=0,D13,IF(7=$C$18,D13/$C$19,D13-INDEX($C13:$M13,1,$C$17)*INDEX(D$7:D$14,$C$18,1)/$C$19))</x:f>
        <x:v>1</x:v>
      </x:c>
      <x:c r="E30" s="17" t="n">
        <x:f>IF($C$17=0,E13,IF(7=$C$18,E13/$C$19,E13-INDEX($C13:$M13,1,$C$17)*INDEX(E$7:E$14,$C$18,1)/$C$19))</x:f>
        <x:v>0</x:v>
      </x:c>
      <x:c r="F30" s="17" t="n">
        <x:f>IF($C$17=0,F13,IF(7=$C$18,F13/$C$19,F13-INDEX($C13:$M13,1,$C$17)*INDEX(F$7:F$14,$C$18,1)/$C$19))</x:f>
        <x:v>0</x:v>
      </x:c>
      <x:c r="G30" s="17" t="n">
        <x:f>IF($C$17=0,G13,IF(7=$C$18,G13/$C$19,G13-INDEX($C13:$M13,1,$C$17)*INDEX(G$7:G$14,$C$18,1)/$C$19))</x:f>
        <x:v>0</x:v>
      </x:c>
      <x:c r="H30" s="17" t="n">
        <x:f>IF($C$17=0,H13,IF(7=$C$18,H13/$C$19,H13-INDEX($C13:$M13,1,$C$17)*INDEX(H$7:H$14,$C$18,1)/$C$19))</x:f>
        <x:v>0</x:v>
      </x:c>
      <x:c r="I30" s="17" t="n">
        <x:f>IF($C$17=0,I13,IF(7=$C$18,I13/$C$19,I13-INDEX($C13:$M13,1,$C$17)*INDEX(I$7:I$14,$C$18,1)/$C$19))</x:f>
        <x:v>0</x:v>
      </x:c>
      <x:c r="J30" s="17" t="n">
        <x:f>IF($C$17=0,J13,IF(7=$C$18,J13/$C$19,J13-INDEX($C13:$M13,1,$C$17)*INDEX(J$7:J$14,$C$18,1)/$C$19))</x:f>
        <x:v>0</x:v>
      </x:c>
      <x:c r="K30" s="17" t="n">
        <x:f>IF($C$17=0,K13,IF(7=$C$18,K13/$C$19,K13-INDEX($C13:$M13,1,$C$17)*INDEX(K$7:K$14,$C$18,1)/$C$19))</x:f>
        <x:v>0</x:v>
      </x:c>
      <x:c r="L30" s="17" t="n">
        <x:f>IF($C$17=0,L13,IF(7=$C$18,L13/$C$19,L13-INDEX($C13:$M13,1,$C$17)*INDEX(L$7:L$14,$C$18,1)/$C$19))</x:f>
        <x:v>1</x:v>
      </x:c>
      <x:c r="M30" s="17" t="n">
        <x:f>IF($C$17=0,M13,IF(7=$C$18,M13/$C$19,M13-INDEX($C13:$M13,1,$C$17)*INDEX(M$7:M$14,$C$18,1)/$C$19))</x:f>
        <x:v>0</x:v>
      </x:c>
      <x:c r="N30" s="17" t="n">
        <x:f>IF($C$34=0,"",IF(INDEX(C30:M30,1,$C$34)&gt;1E-8,B30/INDEX(C30:M30,1,$C$34),""))</x:f>
        <x:v>50</x:v>
      </x:c>
    </x:row>
    <x:row r="31" ht="24" customHeight="1">
      <x:c r="A31" s="2" t="n">
        <x:f>IF($C$17=0,A14,IF(8=$C$18,$C$17,A14))</x:f>
        <x:v>3</x:v>
      </x:c>
      <x:c r="B31" s="17" t="n">
        <x:f>IF($C$17=0,B14,IF(8=$C$18,B14/$C$19,B14-INDEX($C14:$M14,1,$C$17)*INDEX(B$7:B$14,$C$18,1)/$C$19))</x:f>
        <x:v>40</x:v>
      </x:c>
      <x:c r="C31" s="17" t="n">
        <x:f>IF($C$17=0,C14,IF(8=$C$18,C14/$C$19,C14-INDEX($C14:$M14,1,$C$17)*INDEX(C$7:C$14,$C$18,1)/$C$19))</x:f>
        <x:v>0</x:v>
      </x:c>
      <x:c r="D31" s="17" t="n">
        <x:f>IF($C$17=0,D14,IF(8=$C$18,D14/$C$19,D14-INDEX($C14:$M14,1,$C$17)*INDEX(D$7:D$14,$C$18,1)/$C$19))</x:f>
        <x:v>0</x:v>
      </x:c>
      <x:c r="E31" s="17" t="n">
        <x:f>IF($C$17=0,E14,IF(8=$C$18,E14/$C$19,E14-INDEX($C14:$M14,1,$C$17)*INDEX(E$7:E$14,$C$18,1)/$C$19))</x:f>
        <x:v>1</x:v>
      </x:c>
      <x:c r="F31" s="17" t="n">
        <x:f>IF($C$17=0,F14,IF(8=$C$18,F14/$C$19,F14-INDEX($C14:$M14,1,$C$17)*INDEX(F$7:F$14,$C$18,1)/$C$19))</x:f>
        <x:v>0</x:v>
      </x:c>
      <x:c r="G31" s="17" t="n">
        <x:f>IF($C$17=0,G14,IF(8=$C$18,G14/$C$19,G14-INDEX($C14:$M14,1,$C$17)*INDEX(G$7:G$14,$C$18,1)/$C$19))</x:f>
        <x:v>0</x:v>
      </x:c>
      <x:c r="H31" s="17" t="n">
        <x:f>IF($C$17=0,H14,IF(8=$C$18,H14/$C$19,H14-INDEX($C14:$M14,1,$C$17)*INDEX(H$7:H$14,$C$18,1)/$C$19))</x:f>
        <x:v>0</x:v>
      </x:c>
      <x:c r="I31" s="17" t="n">
        <x:f>IF($C$17=0,I14,IF(8=$C$18,I14/$C$19,I14-INDEX($C14:$M14,1,$C$17)*INDEX(I$7:I$14,$C$18,1)/$C$19))</x:f>
        <x:v>0</x:v>
      </x:c>
      <x:c r="J31" s="17" t="n">
        <x:f>IF($C$17=0,J14,IF(8=$C$18,J14/$C$19,J14-INDEX($C14:$M14,1,$C$17)*INDEX(J$7:J$14,$C$18,1)/$C$19))</x:f>
        <x:v>0</x:v>
      </x:c>
      <x:c r="K31" s="17" t="n">
        <x:f>IF($C$17=0,K14,IF(8=$C$18,K14/$C$19,K14-INDEX($C14:$M14,1,$C$17)*INDEX(K$7:K$14,$C$18,1)/$C$19))</x:f>
        <x:v>0</x:v>
      </x:c>
      <x:c r="L31" s="17" t="n">
        <x:f>IF($C$17=0,L14,IF(8=$C$18,L14/$C$19,L14-INDEX($C14:$M14,1,$C$17)*INDEX(L$7:L$14,$C$18,1)/$C$19))</x:f>
        <x:v>0</x:v>
      </x:c>
      <x:c r="M31" s="17" t="n">
        <x:f>IF($C$17=0,M14,IF(8=$C$18,M14/$C$19,M14-INDEX($C14:$M14,1,$C$17)*INDEX(M$7:M$14,$C$18,1)/$C$19))</x:f>
        <x:v>1</x:v>
      </x:c>
      <x:c r="N31" s="17" t="str">
        <x:f>IF($C$34=0,"",IF(INDEX(C31:M31,1,$C$34)&gt;1E-8,B31/INDEX(C31:M31,1,$C$34),""))</x:f>
      </x:c>
    </x:row>
    <x:row r="32" ht="24" customHeight="1">
      <x:c r="A32" s="16" t="str">
        <x:v>Z</x:v>
      </x:c>
      <x:c r="B32" s="18" t="n">
        <x:f>IF($C$17=0,B15,IF(9=$C$18,B15/$C$19,B15-INDEX($C15:$M15,1,$C$17)*INDEX(B$7:B$14,$C$18,1)/$C$19))</x:f>
        <x:v>560000</x:v>
      </x:c>
      <x:c r="C32" s="18" t="n">
        <x:f>IF($C$17=0,C15,IF(9=$C$18,C15/$C$19,C15-INDEX($C15:$M15,1,$C$17)*INDEX(C$7:C$14,$C$18,1)/$C$19))</x:f>
        <x:v>-5000</x:v>
      </x:c>
      <x:c r="D32" s="18" t="n">
        <x:f>IF($C$17=0,D15,IF(9=$C$18,D15/$C$19,D15-INDEX($C15:$M15,1,$C$17)*INDEX(D$7:D$14,$C$18,1)/$C$19))</x:f>
        <x:v>-8000</x:v>
      </x:c>
      <x:c r="E32" s="18" t="n">
        <x:f>IF($C$17=0,E15,IF(9=$C$18,E15/$C$19,E15-INDEX($C15:$M15,1,$C$17)*INDEX(E$7:E$14,$C$18,1)/$C$19))</x:f>
        <x:v>0</x:v>
      </x:c>
      <x:c r="F32" s="18" t="n">
        <x:f>IF($C$17=0,F15,IF(9=$C$18,F15/$C$19,F15-INDEX($C15:$M15,1,$C$17)*INDEX(F$7:F$14,$C$18,1)/$C$19))</x:f>
        <x:v>0</x:v>
      </x:c>
      <x:c r="G32" s="18" t="n">
        <x:f>IF($C$17=0,G15,IF(9=$C$18,G15/$C$19,G15-INDEX($C15:$M15,1,$C$17)*INDEX(G$7:G$14,$C$18,1)/$C$19))</x:f>
        <x:v>0</x:v>
      </x:c>
      <x:c r="H32" s="18" t="n">
        <x:f>IF($C$17=0,H15,IF(9=$C$18,H15/$C$19,H15-INDEX($C15:$M15,1,$C$17)*INDEX(H$7:H$14,$C$18,1)/$C$19))</x:f>
        <x:v>0</x:v>
      </x:c>
      <x:c r="I32" s="18" t="n">
        <x:f>IF($C$17=0,I15,IF(9=$C$18,I15/$C$19,I15-INDEX($C15:$M15,1,$C$17)*INDEX(I$7:I$14,$C$18,1)/$C$19))</x:f>
        <x:v>0</x:v>
      </x:c>
      <x:c r="J32" s="18" t="n">
        <x:f>IF($C$17=0,J15,IF(9=$C$18,J15/$C$19,J15-INDEX($C15:$M15,1,$C$17)*INDEX(J$7:J$14,$C$18,1)/$C$19))</x:f>
        <x:v>0</x:v>
      </x:c>
      <x:c r="K32" s="18" t="n">
        <x:f>IF($C$17=0,K15,IF(9=$C$18,K15/$C$19,K15-INDEX($C15:$M15,1,$C$17)*INDEX(K$7:K$14,$C$18,1)/$C$19))</x:f>
        <x:v>0</x:v>
      </x:c>
      <x:c r="L32" s="18" t="n">
        <x:f>IF($C$17=0,L15,IF(9=$C$18,L15/$C$19,L15-INDEX($C15:$M15,1,$C$17)*INDEX(L$7:L$14,$C$18,1)/$C$19))</x:f>
        <x:v>0</x:v>
      </x:c>
      <x:c r="M32" s="18" t="n">
        <x:f>IF($C$17=0,M15,IF(9=$C$18,M15/$C$19,M15-INDEX($C15:$M15,1,$C$17)*INDEX(M$7:M$14,$C$18,1)/$C$19))</x:f>
        <x:v>14000</x:v>
      </x:c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 t="str">
        <x:v>Входящий №</x:v>
      </x:c>
      <x:c r="B34" s="2"/>
      <x:c r="C34" s="2" t="n">
        <x:f>IF(MIN(C32:M32)&gt;=-1E-8,0,MATCH(MIN(C32:M32),C32:M32,0))</x:f>
        <x:v>2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 t="str">
        <x:v>Выходящая строка</x:v>
      </x:c>
      <x:c r="B35" s="2"/>
      <x:c r="C35" s="2" t="n">
        <x:f>IF(C34=0,0,MATCH(MIN(N24:N31),N24:N31,0))</x:f>
        <x:v>4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 t="str">
        <x:v>Разреш. элемент</x:v>
      </x:c>
      <x:c r="B36" s="2"/>
      <x:c r="C36" s="19" t="n">
        <x:f>IF(C34=0,1,INDEX(C24:M31,C35,C34))</x:f>
        <x:v>1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 t="str">
        <x:v>Статус</x:v>
      </x:c>
      <x:c r="B37" s="2"/>
      <x:c r="C37" s="2" t="str">
        <x:f>IF(MIN(B24:B31)&lt;-1E-7,"Недопустимый базис",IF(C34=0,"Оптимум",IF(COUNT(N24:N31)=0,"Неограничена","Нужен переход")))</x:f>
        <x:v>Нужен переход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 t="str">
        <x:v>Таблица после перехода 2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7" t="str">
        <x:v>Базис №</x:v>
      </x:c>
      <x:c r="B40" s="7" t="str">
        <x:v>b</x:v>
      </x:c>
      <x:c r="C40" s="7" t="str">
        <x:v>x1</x:v>
      </x:c>
      <x:c r="D40" s="7" t="str">
        <x:v>x2</x:v>
      </x:c>
      <x:c r="E40" s="7" t="str">
        <x:v>x3</x:v>
      </x:c>
      <x:c r="F40" s="7" t="str">
        <x:v>s1</x:v>
      </x:c>
      <x:c r="G40" s="7" t="str">
        <x:v>s2</x:v>
      </x:c>
      <x:c r="H40" s="7" t="str">
        <x:v>s3</x:v>
      </x:c>
      <x:c r="I40" s="7" t="str">
        <x:v>s4</x:v>
      </x:c>
      <x:c r="J40" s="7" t="str">
        <x:v>s5</x:v>
      </x:c>
      <x:c r="K40" s="7" t="str">
        <x:v>s6</x:v>
      </x:c>
      <x:c r="L40" s="7" t="str">
        <x:v>s7</x:v>
      </x:c>
      <x:c r="M40" s="7" t="str">
        <x:v>s8</x:v>
      </x:c>
      <x:c r="N40" s="7" t="str">
        <x:v>b / a</x:v>
      </x:c>
    </x:row>
    <x:row r="41" ht="24" customHeight="1">
      <x:c r="A41" s="2" t="n">
        <x:f>IF($C$34=0,A24,IF(1=$C$35,$C$34,A24))</x:f>
        <x:v>4</x:v>
      </x:c>
      <x:c r="B41" s="17" t="n">
        <x:f>IF($C$34=0,B24,IF(1=$C$35,B24/$C$36,B24-INDEX($C24:$M24,1,$C$34)*INDEX(B$24:B$31,$C$35,1)/$C$36))</x:f>
        <x:v>60</x:v>
      </x:c>
      <x:c r="C41" s="17" t="n">
        <x:f>IF($C$34=0,C24,IF(1=$C$35,C24/$C$36,C24-INDEX($C24:$M24,1,$C$34)*INDEX(C$24:C$31,$C$35,1)/$C$36))</x:f>
        <x:v>-1</x:v>
      </x:c>
      <x:c r="D41" s="17" t="n">
        <x:f>IF($C$34=0,D24,IF(1=$C$35,D24/$C$36,D24-INDEX($C24:$M24,1,$C$34)*INDEX(D$24:D$31,$C$35,1)/$C$36))</x:f>
        <x:v>0</x:v>
      </x:c>
      <x:c r="E41" s="17" t="n">
        <x:f>IF($C$34=0,E24,IF(1=$C$35,E24/$C$36,E24-INDEX($C24:$M24,1,$C$34)*INDEX(E$24:E$31,$C$35,1)/$C$36))</x:f>
        <x:v>0</x:v>
      </x:c>
      <x:c r="F41" s="17" t="n">
        <x:f>IF($C$34=0,F24,IF(1=$C$35,F24/$C$36,F24-INDEX($C24:$M24,1,$C$34)*INDEX(F$24:F$31,$C$35,1)/$C$36))</x:f>
        <x:v>1</x:v>
      </x:c>
      <x:c r="G41" s="17" t="n">
        <x:f>IF($C$34=0,G24,IF(1=$C$35,G24/$C$36,G24-INDEX($C24:$M24,1,$C$34)*INDEX(G$24:G$31,$C$35,1)/$C$36))</x:f>
        <x:v>0</x:v>
      </x:c>
      <x:c r="H41" s="17" t="n">
        <x:f>IF($C$34=0,H24,IF(1=$C$35,H24/$C$36,H24-INDEX($C24:$M24,1,$C$34)*INDEX(H$24:H$31,$C$35,1)/$C$36))</x:f>
        <x:v>0</x:v>
      </x:c>
      <x:c r="I41" s="17" t="n">
        <x:f>IF($C$34=0,I24,IF(1=$C$35,I24/$C$36,I24-INDEX($C24:$M24,1,$C$34)*INDEX(I$24:I$31,$C$35,1)/$C$36))</x:f>
        <x:v>-2</x:v>
      </x:c>
      <x:c r="J41" s="17" t="n">
        <x:f>IF($C$34=0,J24,IF(1=$C$35,J24/$C$36,J24-INDEX($C24:$M24,1,$C$34)*INDEX(J$24:J$31,$C$35,1)/$C$36))</x:f>
        <x:v>0</x:v>
      </x:c>
      <x:c r="K41" s="17" t="n">
        <x:f>IF($C$34=0,K24,IF(1=$C$35,K24/$C$36,K24-INDEX($C24:$M24,1,$C$34)*INDEX(K$24:K$31,$C$35,1)/$C$36))</x:f>
        <x:v>0</x:v>
      </x:c>
      <x:c r="L41" s="17" t="n">
        <x:f>IF($C$34=0,L24,IF(1=$C$35,L24/$C$36,L24-INDEX($C24:$M24,1,$C$34)*INDEX(L$24:L$31,$C$35,1)/$C$36))</x:f>
        <x:v>0</x:v>
      </x:c>
      <x:c r="M41" s="17" t="n">
        <x:f>IF($C$34=0,M24,IF(1=$C$35,M24/$C$36,M24-INDEX($C24:$M24,1,$C$34)*INDEX(M$24:M$31,$C$35,1)/$C$36))</x:f>
        <x:v>4</x:v>
      </x:c>
      <x:c r="N41" s="17" t="n">
        <x:f>IF($C$51=0,"",IF(INDEX(C41:M41,1,$C$51)&gt;1E-8,B41/INDEX(C41:M41,1,$C$51),""))</x:f>
        <x:v>15</x:v>
      </x:c>
    </x:row>
    <x:row r="42" ht="24" customHeight="1">
      <x:c r="A42" s="2" t="n">
        <x:f>IF($C$34=0,A25,IF(2=$C$35,$C$34,A25))</x:f>
        <x:v>5</x:v>
      </x:c>
      <x:c r="B42" s="17" t="n">
        <x:f>IF($C$34=0,B25,IF(2=$C$35,B25/$C$36,B25-INDEX($C25:$M25,1,$C$34)*INDEX(B$24:B$31,$C$35,1)/$C$36))</x:f>
        <x:v>40</x:v>
      </x:c>
      <x:c r="C42" s="17" t="n">
        <x:f>IF($C$34=0,C25,IF(2=$C$35,C25/$C$36,C25-INDEX($C25:$M25,1,$C$34)*INDEX(C$24:C$31,$C$35,1)/$C$36))</x:f>
        <x:v>0</x:v>
      </x:c>
      <x:c r="D42" s="17" t="n">
        <x:f>IF($C$34=0,D25,IF(2=$C$35,D25/$C$36,D25-INDEX($C25:$M25,1,$C$34)*INDEX(D$24:D$31,$C$35,1)/$C$36))</x:f>
        <x:v>0</x:v>
      </x:c>
      <x:c r="E42" s="17" t="n">
        <x:f>IF($C$34=0,E25,IF(2=$C$35,E25/$C$36,E25-INDEX($C25:$M25,1,$C$34)*INDEX(E$24:E$31,$C$35,1)/$C$36))</x:f>
        <x:v>0</x:v>
      </x:c>
      <x:c r="F42" s="17" t="n">
        <x:f>IF($C$34=0,F25,IF(2=$C$35,F25/$C$36,F25-INDEX($C25:$M25,1,$C$34)*INDEX(F$24:F$31,$C$35,1)/$C$36))</x:f>
        <x:v>0</x:v>
      </x:c>
      <x:c r="G42" s="17" t="n">
        <x:f>IF($C$34=0,G25,IF(2=$C$35,G25/$C$36,G25-INDEX($C25:$M25,1,$C$34)*INDEX(G$24:G$31,$C$35,1)/$C$36))</x:f>
        <x:v>1</x:v>
      </x:c>
      <x:c r="H42" s="17" t="n">
        <x:f>IF($C$34=0,H25,IF(2=$C$35,H25/$C$36,H25-INDEX($C25:$M25,1,$C$34)*INDEX(H$24:H$31,$C$35,1)/$C$36))</x:f>
        <x:v>0</x:v>
      </x:c>
      <x:c r="I42" s="17" t="n">
        <x:f>IF($C$34=0,I25,IF(2=$C$35,I25/$C$36,I25-INDEX($C25:$M25,1,$C$34)*INDEX(I$24:I$31,$C$35,1)/$C$36))</x:f>
        <x:v>-1</x:v>
      </x:c>
      <x:c r="J42" s="17" t="n">
        <x:f>IF($C$34=0,J25,IF(2=$C$35,J25/$C$36,J25-INDEX($C25:$M25,1,$C$34)*INDEX(J$24:J$31,$C$35,1)/$C$36))</x:f>
        <x:v>0</x:v>
      </x:c>
      <x:c r="K42" s="17" t="n">
        <x:f>IF($C$34=0,K25,IF(2=$C$35,K25/$C$36,K25-INDEX($C25:$M25,1,$C$34)*INDEX(K$24:K$31,$C$35,1)/$C$36))</x:f>
        <x:v>0</x:v>
      </x:c>
      <x:c r="L42" s="17" t="n">
        <x:f>IF($C$34=0,L25,IF(2=$C$35,L25/$C$36,L25-INDEX($C25:$M25,1,$C$34)*INDEX(L$24:L$31,$C$35,1)/$C$36))</x:f>
        <x:v>0</x:v>
      </x:c>
      <x:c r="M42" s="17" t="n">
        <x:f>IF($C$34=0,M25,IF(2=$C$35,M25/$C$36,M25-INDEX($C25:$M25,1,$C$34)*INDEX(M$24:M$31,$C$35,1)/$C$36))</x:f>
        <x:v>1</x:v>
      </x:c>
      <x:c r="N42" s="17" t="n">
        <x:f>IF($C$51=0,"",IF(INDEX(C42:M42,1,$C$51)&gt;1E-8,B42/INDEX(C42:M42,1,$C$51),""))</x:f>
        <x:v>40</x:v>
      </x:c>
    </x:row>
    <x:row r="43" ht="24" customHeight="1">
      <x:c r="A43" s="2" t="n">
        <x:f>IF($C$34=0,A26,IF(3=$C$35,$C$34,A26))</x:f>
        <x:v>6</x:v>
      </x:c>
      <x:c r="B43" s="17" t="n">
        <x:f>IF($C$34=0,B26,IF(3=$C$35,B26/$C$36,B26-INDEX($C26:$M26,1,$C$34)*INDEX(B$24:B$31,$C$35,1)/$C$36))</x:f>
        <x:v>20</x:v>
      </x:c>
      <x:c r="C43" s="17" t="n">
        <x:f>IF($C$34=0,C26,IF(3=$C$35,C26/$C$36,C26-INDEX($C26:$M26,1,$C$34)*INDEX(C$24:C$31,$C$35,1)/$C$36))</x:f>
        <x:v>-1</x:v>
      </x:c>
      <x:c r="D43" s="17" t="n">
        <x:f>IF($C$34=0,D26,IF(3=$C$35,D26/$C$36,D26-INDEX($C26:$M26,1,$C$34)*INDEX(D$24:D$31,$C$35,1)/$C$36))</x:f>
        <x:v>0</x:v>
      </x:c>
      <x:c r="E43" s="17" t="n">
        <x:f>IF($C$34=0,E26,IF(3=$C$35,E26/$C$36,E26-INDEX($C26:$M26,1,$C$34)*INDEX(E$24:E$31,$C$35,1)/$C$36))</x:f>
        <x:v>0</x:v>
      </x:c>
      <x:c r="F43" s="17" t="n">
        <x:f>IF($C$34=0,F26,IF(3=$C$35,F26/$C$36,F26-INDEX($C26:$M26,1,$C$34)*INDEX(F$24:F$31,$C$35,1)/$C$36))</x:f>
        <x:v>0</x:v>
      </x:c>
      <x:c r="G43" s="17" t="n">
        <x:f>IF($C$34=0,G26,IF(3=$C$35,G26/$C$36,G26-INDEX($C26:$M26,1,$C$34)*INDEX(G$24:G$31,$C$35,1)/$C$36))</x:f>
        <x:v>0</x:v>
      </x:c>
      <x:c r="H43" s="17" t="n">
        <x:f>IF($C$34=0,H26,IF(3=$C$35,H26/$C$36,H26-INDEX($C26:$M26,1,$C$34)*INDEX(H$24:H$31,$C$35,1)/$C$36))</x:f>
        <x:v>1</x:v>
      </x:c>
      <x:c r="I43" s="17" t="n">
        <x:f>IF($C$34=0,I26,IF(3=$C$35,I26/$C$36,I26-INDEX($C26:$M26,1,$C$34)*INDEX(I$24:I$31,$C$35,1)/$C$36))</x:f>
        <x:v>-2</x:v>
      </x:c>
      <x:c r="J43" s="17" t="n">
        <x:f>IF($C$34=0,J26,IF(3=$C$35,J26/$C$36,J26-INDEX($C26:$M26,1,$C$34)*INDEX(J$24:J$31,$C$35,1)/$C$36))</x:f>
        <x:v>0</x:v>
      </x:c>
      <x:c r="K43" s="17" t="n">
        <x:f>IF($C$34=0,K26,IF(3=$C$35,K26/$C$36,K26-INDEX($C26:$M26,1,$C$34)*INDEX(K$24:K$31,$C$35,1)/$C$36))</x:f>
        <x:v>0</x:v>
      </x:c>
      <x:c r="L43" s="17" t="n">
        <x:f>IF($C$34=0,L26,IF(3=$C$35,L26/$C$36,L26-INDEX($C26:$M26,1,$C$34)*INDEX(L$24:L$31,$C$35,1)/$C$36))</x:f>
        <x:v>0</x:v>
      </x:c>
      <x:c r="M43" s="17" t="n">
        <x:f>IF($C$34=0,M26,IF(3=$C$35,M26/$C$36,M26-INDEX($C26:$M26,1,$C$34)*INDEX(M$24:M$31,$C$35,1)/$C$36))</x:f>
        <x:v>3</x:v>
      </x:c>
      <x:c r="N43" s="17" t="n">
        <x:f>IF($C$51=0,"",IF(INDEX(C43:M43,1,$C$51)&gt;1E-8,B43/INDEX(C43:M43,1,$C$51),""))</x:f>
        <x:v>6.666666666666667</x:v>
      </x:c>
    </x:row>
    <x:row r="44" ht="24" customHeight="1">
      <x:c r="A44" s="2" t="n">
        <x:f>IF($C$34=0,A27,IF(4=$C$35,$C$34,A27))</x:f>
        <x:v>2</x:v>
      </x:c>
      <x:c r="B44" s="17" t="n">
        <x:f>IF($C$34=0,B27,IF(4=$C$35,B27/$C$36,B27-INDEX($C27:$M27,1,$C$34)*INDEX(B$24:B$31,$C$35,1)/$C$36))</x:f>
        <x:v>10</x:v>
      </x:c>
      <x:c r="C44" s="17" t="n">
        <x:f>IF($C$34=0,C27,IF(4=$C$35,C27/$C$36,C27-INDEX($C27:$M27,1,$C$34)*INDEX(C$24:C$31,$C$35,1)/$C$36))</x:f>
        <x:v>1</x:v>
      </x:c>
      <x:c r="D44" s="17" t="n">
        <x:f>IF($C$34=0,D27,IF(4=$C$35,D27/$C$36,D27-INDEX($C27:$M27,1,$C$34)*INDEX(D$24:D$31,$C$35,1)/$C$36))</x:f>
        <x:v>1</x:v>
      </x:c>
      <x:c r="E44" s="17" t="n">
        <x:f>IF($C$34=0,E27,IF(4=$C$35,E27/$C$36,E27-INDEX($C27:$M27,1,$C$34)*INDEX(E$24:E$31,$C$35,1)/$C$36))</x:f>
        <x:v>0</x:v>
      </x:c>
      <x:c r="F44" s="17" t="n">
        <x:f>IF($C$34=0,F27,IF(4=$C$35,F27/$C$36,F27-INDEX($C27:$M27,1,$C$34)*INDEX(F$24:F$31,$C$35,1)/$C$36))</x:f>
        <x:v>0</x:v>
      </x:c>
      <x:c r="G44" s="17" t="n">
        <x:f>IF($C$34=0,G27,IF(4=$C$35,G27/$C$36,G27-INDEX($C27:$M27,1,$C$34)*INDEX(G$24:G$31,$C$35,1)/$C$36))</x:f>
        <x:v>0</x:v>
      </x:c>
      <x:c r="H44" s="17" t="n">
        <x:f>IF($C$34=0,H27,IF(4=$C$35,H27/$C$36,H27-INDEX($C27:$M27,1,$C$34)*INDEX(H$24:H$31,$C$35,1)/$C$36))</x:f>
        <x:v>0</x:v>
      </x:c>
      <x:c r="I44" s="17" t="n">
        <x:f>IF($C$34=0,I27,IF(4=$C$35,I27/$C$36,I27-INDEX($C27:$M27,1,$C$34)*INDEX(I$24:I$31,$C$35,1)/$C$36))</x:f>
        <x:v>1</x:v>
      </x:c>
      <x:c r="J44" s="17" t="n">
        <x:f>IF($C$34=0,J27,IF(4=$C$35,J27/$C$36,J27-INDEX($C27:$M27,1,$C$34)*INDEX(J$24:J$31,$C$35,1)/$C$36))</x:f>
        <x:v>0</x:v>
      </x:c>
      <x:c r="K44" s="17" t="n">
        <x:f>IF($C$34=0,K27,IF(4=$C$35,K27/$C$36,K27-INDEX($C27:$M27,1,$C$34)*INDEX(K$24:K$31,$C$35,1)/$C$36))</x:f>
        <x:v>0</x:v>
      </x:c>
      <x:c r="L44" s="17" t="n">
        <x:f>IF($C$34=0,L27,IF(4=$C$35,L27/$C$36,L27-INDEX($C27:$M27,1,$C$34)*INDEX(L$24:L$31,$C$35,1)/$C$36))</x:f>
        <x:v>0</x:v>
      </x:c>
      <x:c r="M44" s="17" t="n">
        <x:f>IF($C$34=0,M27,IF(4=$C$35,M27/$C$36,M27-INDEX($C27:$M27,1,$C$34)*INDEX(M$24:M$31,$C$35,1)/$C$36))</x:f>
        <x:v>-3</x:v>
      </x:c>
      <x:c r="N44" s="17" t="str">
        <x:f>IF($C$51=0,"",IF(INDEX(C44:M44,1,$C$51)&gt;1E-8,B44/INDEX(C44:M44,1,$C$51),""))</x:f>
      </x:c>
    </x:row>
    <x:row r="45" ht="24" customHeight="1">
      <x:c r="A45" s="2" t="n">
        <x:f>IF($C$34=0,A28,IF(5=$C$35,$C$34,A28))</x:f>
        <x:v>8</x:v>
      </x:c>
      <x:c r="B45" s="17" t="n">
        <x:f>IF($C$34=0,B28,IF(5=$C$35,B28/$C$36,B28-INDEX($C28:$M28,1,$C$34)*INDEX(B$24:B$31,$C$35,1)/$C$36))</x:f>
        <x:v>60</x:v>
      </x:c>
      <x:c r="C45" s="17" t="n">
        <x:f>IF($C$34=0,C28,IF(5=$C$35,C28/$C$36,C28-INDEX($C28:$M28,1,$C$34)*INDEX(C$24:C$31,$C$35,1)/$C$36))</x:f>
        <x:v>-2</x:v>
      </x:c>
      <x:c r="D45" s="17" t="n">
        <x:f>IF($C$34=0,D28,IF(5=$C$35,D28/$C$36,D28-INDEX($C28:$M28,1,$C$34)*INDEX(D$24:D$31,$C$35,1)/$C$36))</x:f>
        <x:v>0</x:v>
      </x:c>
      <x:c r="E45" s="17" t="n">
        <x:f>IF($C$34=0,E28,IF(5=$C$35,E28/$C$36,E28-INDEX($C28:$M28,1,$C$34)*INDEX(E$24:E$31,$C$35,1)/$C$36))</x:f>
        <x:v>0</x:v>
      </x:c>
      <x:c r="F45" s="17" t="n">
        <x:f>IF($C$34=0,F28,IF(5=$C$35,F28/$C$36,F28-INDEX($C28:$M28,1,$C$34)*INDEX(F$24:F$31,$C$35,1)/$C$36))</x:f>
        <x:v>0</x:v>
      </x:c>
      <x:c r="G45" s="17" t="n">
        <x:f>IF($C$34=0,G28,IF(5=$C$35,G28/$C$36,G28-INDEX($C28:$M28,1,$C$34)*INDEX(G$24:G$31,$C$35,1)/$C$36))</x:f>
        <x:v>0</x:v>
      </x:c>
      <x:c r="H45" s="17" t="n">
        <x:f>IF($C$34=0,H28,IF(5=$C$35,H28/$C$36,H28-INDEX($C28:$M28,1,$C$34)*INDEX(H$24:H$31,$C$35,1)/$C$36))</x:f>
        <x:v>0</x:v>
      </x:c>
      <x:c r="I45" s="17" t="n">
        <x:f>IF($C$34=0,I28,IF(5=$C$35,I28/$C$36,I28-INDEX($C28:$M28,1,$C$34)*INDEX(I$24:I$31,$C$35,1)/$C$36))</x:f>
        <x:v>-4</x:v>
      </x:c>
      <x:c r="J45" s="17" t="n">
        <x:f>IF($C$34=0,J28,IF(5=$C$35,J28/$C$36,J28-INDEX($C28:$M28,1,$C$34)*INDEX(J$24:J$31,$C$35,1)/$C$36))</x:f>
        <x:v>1</x:v>
      </x:c>
      <x:c r="K45" s="17" t="n">
        <x:f>IF($C$34=0,K28,IF(5=$C$35,K28/$C$36,K28-INDEX($C28:$M28,1,$C$34)*INDEX(K$24:K$31,$C$35,1)/$C$36))</x:f>
        <x:v>0</x:v>
      </x:c>
      <x:c r="L45" s="17" t="n">
        <x:f>IF($C$34=0,L28,IF(5=$C$35,L28/$C$36,L28-INDEX($C28:$M28,1,$C$34)*INDEX(L$24:L$31,$C$35,1)/$C$36))</x:f>
        <x:v>0</x:v>
      </x:c>
      <x:c r="M45" s="17" t="n">
        <x:f>IF($C$34=0,M28,IF(5=$C$35,M28/$C$36,M28-INDEX($C28:$M28,1,$C$34)*INDEX(M$24:M$31,$C$35,1)/$C$36))</x:f>
        <x:v>7</x:v>
      </x:c>
      <x:c r="N45" s="17" t="n">
        <x:f>IF($C$51=0,"",IF(INDEX(C45:M45,1,$C$51)&gt;1E-8,B45/INDEX(C45:M45,1,$C$51),""))</x:f>
        <x:v>8.571428571428571</x:v>
      </x:c>
    </x:row>
    <x:row r="46" ht="24" customHeight="1">
      <x:c r="A46" s="2" t="n">
        <x:f>IF($C$34=0,A29,IF(6=$C$35,$C$34,A29))</x:f>
        <x:v>9</x:v>
      </x:c>
      <x:c r="B46" s="17" t="n">
        <x:f>IF($C$34=0,B29,IF(6=$C$35,B29/$C$36,B29-INDEX($C29:$M29,1,$C$34)*INDEX(B$24:B$31,$C$35,1)/$C$36))</x:f>
        <x:v>60</x:v>
      </x:c>
      <x:c r="C46" s="17" t="n">
        <x:f>IF($C$34=0,C29,IF(6=$C$35,C29/$C$36,C29-INDEX($C29:$M29,1,$C$34)*INDEX(C$24:C$31,$C$35,1)/$C$36))</x:f>
        <x:v>1</x:v>
      </x:c>
      <x:c r="D46" s="17" t="n">
        <x:f>IF($C$34=0,D29,IF(6=$C$35,D29/$C$36,D29-INDEX($C29:$M29,1,$C$34)*INDEX(D$24:D$31,$C$35,1)/$C$36))</x:f>
        <x:v>0</x:v>
      </x:c>
      <x:c r="E46" s="17" t="n">
        <x:f>IF($C$34=0,E29,IF(6=$C$35,E29/$C$36,E29-INDEX($C29:$M29,1,$C$34)*INDEX(E$24:E$31,$C$35,1)/$C$36))</x:f>
        <x:v>0</x:v>
      </x:c>
      <x:c r="F46" s="17" t="n">
        <x:f>IF($C$34=0,F29,IF(6=$C$35,F29/$C$36,F29-INDEX($C29:$M29,1,$C$34)*INDEX(F$24:F$31,$C$35,1)/$C$36))</x:f>
        <x:v>0</x:v>
      </x:c>
      <x:c r="G46" s="17" t="n">
        <x:f>IF($C$34=0,G29,IF(6=$C$35,G29/$C$36,G29-INDEX($C29:$M29,1,$C$34)*INDEX(G$24:G$31,$C$35,1)/$C$36))</x:f>
        <x:v>0</x:v>
      </x:c>
      <x:c r="H46" s="17" t="n">
        <x:f>IF($C$34=0,H29,IF(6=$C$35,H29/$C$36,H29-INDEX($C29:$M29,1,$C$34)*INDEX(H$24:H$31,$C$35,1)/$C$36))</x:f>
        <x:v>0</x:v>
      </x:c>
      <x:c r="I46" s="17" t="n">
        <x:f>IF($C$34=0,I29,IF(6=$C$35,I29/$C$36,I29-INDEX($C29:$M29,1,$C$34)*INDEX(I$24:I$31,$C$35,1)/$C$36))</x:f>
        <x:v>0</x:v>
      </x:c>
      <x:c r="J46" s="17" t="n">
        <x:f>IF($C$34=0,J29,IF(6=$C$35,J29/$C$36,J29-INDEX($C29:$M29,1,$C$34)*INDEX(J$24:J$31,$C$35,1)/$C$36))</x:f>
        <x:v>0</x:v>
      </x:c>
      <x:c r="K46" s="17" t="n">
        <x:f>IF($C$34=0,K29,IF(6=$C$35,K29/$C$36,K29-INDEX($C29:$M29,1,$C$34)*INDEX(K$24:K$31,$C$35,1)/$C$36))</x:f>
        <x:v>1</x:v>
      </x:c>
      <x:c r="L46" s="17" t="n">
        <x:f>IF($C$34=0,L29,IF(6=$C$35,L29/$C$36,L29-INDEX($C29:$M29,1,$C$34)*INDEX(L$24:L$31,$C$35,1)/$C$36))</x:f>
        <x:v>0</x:v>
      </x:c>
      <x:c r="M46" s="17" t="n">
        <x:f>IF($C$34=0,M29,IF(6=$C$35,M29/$C$36,M29-INDEX($C29:$M29,1,$C$34)*INDEX(M$24:M$31,$C$35,1)/$C$36))</x:f>
        <x:v>0</x:v>
      </x:c>
      <x:c r="N46" s="17" t="str">
        <x:f>IF($C$51=0,"",IF(INDEX(C46:M46,1,$C$51)&gt;1E-8,B46/INDEX(C46:M46,1,$C$51),""))</x:f>
      </x:c>
    </x:row>
    <x:row r="47" ht="24" customHeight="1">
      <x:c r="A47" s="2" t="n">
        <x:f>IF($C$34=0,A30,IF(7=$C$35,$C$34,A30))</x:f>
        <x:v>10</x:v>
      </x:c>
      <x:c r="B47" s="17" t="n">
        <x:f>IF($C$34=0,B30,IF(7=$C$35,B30/$C$36,B30-INDEX($C30:$M30,1,$C$34)*INDEX(B$24:B$31,$C$35,1)/$C$36))</x:f>
        <x:v>40</x:v>
      </x:c>
      <x:c r="C47" s="17" t="n">
        <x:f>IF($C$34=0,C30,IF(7=$C$35,C30/$C$36,C30-INDEX($C30:$M30,1,$C$34)*INDEX(C$24:C$31,$C$35,1)/$C$36))</x:f>
        <x:v>-1</x:v>
      </x:c>
      <x:c r="D47" s="17" t="n">
        <x:f>IF($C$34=0,D30,IF(7=$C$35,D30/$C$36,D30-INDEX($C30:$M30,1,$C$34)*INDEX(D$24:D$31,$C$35,1)/$C$36))</x:f>
        <x:v>0</x:v>
      </x:c>
      <x:c r="E47" s="17" t="n">
        <x:f>IF($C$34=0,E30,IF(7=$C$35,E30/$C$36,E30-INDEX($C30:$M30,1,$C$34)*INDEX(E$24:E$31,$C$35,1)/$C$36))</x:f>
        <x:v>0</x:v>
      </x:c>
      <x:c r="F47" s="17" t="n">
        <x:f>IF($C$34=0,F30,IF(7=$C$35,F30/$C$36,F30-INDEX($C30:$M30,1,$C$34)*INDEX(F$24:F$31,$C$35,1)/$C$36))</x:f>
        <x:v>0</x:v>
      </x:c>
      <x:c r="G47" s="17" t="n">
        <x:f>IF($C$34=0,G30,IF(7=$C$35,G30/$C$36,G30-INDEX($C30:$M30,1,$C$34)*INDEX(G$24:G$31,$C$35,1)/$C$36))</x:f>
        <x:v>0</x:v>
      </x:c>
      <x:c r="H47" s="17" t="n">
        <x:f>IF($C$34=0,H30,IF(7=$C$35,H30/$C$36,H30-INDEX($C30:$M30,1,$C$34)*INDEX(H$24:H$31,$C$35,1)/$C$36))</x:f>
        <x:v>0</x:v>
      </x:c>
      <x:c r="I47" s="17" t="n">
        <x:f>IF($C$34=0,I30,IF(7=$C$35,I30/$C$36,I30-INDEX($C30:$M30,1,$C$34)*INDEX(I$24:I$31,$C$35,1)/$C$36))</x:f>
        <x:v>-1</x:v>
      </x:c>
      <x:c r="J47" s="17" t="n">
        <x:f>IF($C$34=0,J30,IF(7=$C$35,J30/$C$36,J30-INDEX($C30:$M30,1,$C$34)*INDEX(J$24:J$31,$C$35,1)/$C$36))</x:f>
        <x:v>0</x:v>
      </x:c>
      <x:c r="K47" s="17" t="n">
        <x:f>IF($C$34=0,K30,IF(7=$C$35,K30/$C$36,K30-INDEX($C30:$M30,1,$C$34)*INDEX(K$24:K$31,$C$35,1)/$C$36))</x:f>
        <x:v>0</x:v>
      </x:c>
      <x:c r="L47" s="17" t="n">
        <x:f>IF($C$34=0,L30,IF(7=$C$35,L30/$C$36,L30-INDEX($C30:$M30,1,$C$34)*INDEX(L$24:L$31,$C$35,1)/$C$36))</x:f>
        <x:v>1</x:v>
      </x:c>
      <x:c r="M47" s="17" t="n">
        <x:f>IF($C$34=0,M30,IF(7=$C$35,M30/$C$36,M30-INDEX($C30:$M30,1,$C$34)*INDEX(M$24:M$31,$C$35,1)/$C$36))</x:f>
        <x:v>3</x:v>
      </x:c>
      <x:c r="N47" s="17" t="n">
        <x:f>IF($C$51=0,"",IF(INDEX(C47:M47,1,$C$51)&gt;1E-8,B47/INDEX(C47:M47,1,$C$51),""))</x:f>
        <x:v>13.333333333333334</x:v>
      </x:c>
    </x:row>
    <x:row r="48" ht="24" customHeight="1">
      <x:c r="A48" s="2" t="n">
        <x:f>IF($C$34=0,A31,IF(8=$C$35,$C$34,A31))</x:f>
        <x:v>3</x:v>
      </x:c>
      <x:c r="B48" s="17" t="n">
        <x:f>IF($C$34=0,B31,IF(8=$C$35,B31/$C$36,B31-INDEX($C31:$M31,1,$C$34)*INDEX(B$24:B$31,$C$35,1)/$C$36))</x:f>
        <x:v>40</x:v>
      </x:c>
      <x:c r="C48" s="17" t="n">
        <x:f>IF($C$34=0,C31,IF(8=$C$35,C31/$C$36,C31-INDEX($C31:$M31,1,$C$34)*INDEX(C$24:C$31,$C$35,1)/$C$36))</x:f>
        <x:v>0</x:v>
      </x:c>
      <x:c r="D48" s="17" t="n">
        <x:f>IF($C$34=0,D31,IF(8=$C$35,D31/$C$36,D31-INDEX($C31:$M31,1,$C$34)*INDEX(D$24:D$31,$C$35,1)/$C$36))</x:f>
        <x:v>0</x:v>
      </x:c>
      <x:c r="E48" s="17" t="n">
        <x:f>IF($C$34=0,E31,IF(8=$C$35,E31/$C$36,E31-INDEX($C31:$M31,1,$C$34)*INDEX(E$24:E$31,$C$35,1)/$C$36))</x:f>
        <x:v>1</x:v>
      </x:c>
      <x:c r="F48" s="17" t="n">
        <x:f>IF($C$34=0,F31,IF(8=$C$35,F31/$C$36,F31-INDEX($C31:$M31,1,$C$34)*INDEX(F$24:F$31,$C$35,1)/$C$36))</x:f>
        <x:v>0</x:v>
      </x:c>
      <x:c r="G48" s="17" t="n">
        <x:f>IF($C$34=0,G31,IF(8=$C$35,G31/$C$36,G31-INDEX($C31:$M31,1,$C$34)*INDEX(G$24:G$31,$C$35,1)/$C$36))</x:f>
        <x:v>0</x:v>
      </x:c>
      <x:c r="H48" s="17" t="n">
        <x:f>IF($C$34=0,H31,IF(8=$C$35,H31/$C$36,H31-INDEX($C31:$M31,1,$C$34)*INDEX(H$24:H$31,$C$35,1)/$C$36))</x:f>
        <x:v>0</x:v>
      </x:c>
      <x:c r="I48" s="17" t="n">
        <x:f>IF($C$34=0,I31,IF(8=$C$35,I31/$C$36,I31-INDEX($C31:$M31,1,$C$34)*INDEX(I$24:I$31,$C$35,1)/$C$36))</x:f>
        <x:v>0</x:v>
      </x:c>
      <x:c r="J48" s="17" t="n">
        <x:f>IF($C$34=0,J31,IF(8=$C$35,J31/$C$36,J31-INDEX($C31:$M31,1,$C$34)*INDEX(J$24:J$31,$C$35,1)/$C$36))</x:f>
        <x:v>0</x:v>
      </x:c>
      <x:c r="K48" s="17" t="n">
        <x:f>IF($C$34=0,K31,IF(8=$C$35,K31/$C$36,K31-INDEX($C31:$M31,1,$C$34)*INDEX(K$24:K$31,$C$35,1)/$C$36))</x:f>
        <x:v>0</x:v>
      </x:c>
      <x:c r="L48" s="17" t="n">
        <x:f>IF($C$34=0,L31,IF(8=$C$35,L31/$C$36,L31-INDEX($C31:$M31,1,$C$34)*INDEX(L$24:L$31,$C$35,1)/$C$36))</x:f>
        <x:v>0</x:v>
      </x:c>
      <x:c r="M48" s="17" t="n">
        <x:f>IF($C$34=0,M31,IF(8=$C$35,M31/$C$36,M31-INDEX($C31:$M31,1,$C$34)*INDEX(M$24:M$31,$C$35,1)/$C$36))</x:f>
        <x:v>1</x:v>
      </x:c>
      <x:c r="N48" s="17" t="n">
        <x:f>IF($C$51=0,"",IF(INDEX(C48:M48,1,$C$51)&gt;1E-8,B48/INDEX(C48:M48,1,$C$51),""))</x:f>
        <x:v>40</x:v>
      </x:c>
    </x:row>
    <x:row r="49" ht="24" customHeight="1">
      <x:c r="A49" s="16" t="str">
        <x:v>Z</x:v>
      </x:c>
      <x:c r="B49" s="18" t="n">
        <x:f>IF($C$34=0,B32,IF(9=$C$35,B32/$C$36,B32-INDEX($C32:$M32,1,$C$34)*INDEX(B$24:B$31,$C$35,1)/$C$36))</x:f>
        <x:v>640000</x:v>
      </x:c>
      <x:c r="C49" s="18" t="n">
        <x:f>IF($C$34=0,C32,IF(9=$C$35,C32/$C$36,C32-INDEX($C32:$M32,1,$C$34)*INDEX(C$24:C$31,$C$35,1)/$C$36))</x:f>
        <x:v>3000</x:v>
      </x:c>
      <x:c r="D49" s="18" t="n">
        <x:f>IF($C$34=0,D32,IF(9=$C$35,D32/$C$36,D32-INDEX($C32:$M32,1,$C$34)*INDEX(D$24:D$31,$C$35,1)/$C$36))</x:f>
        <x:v>0</x:v>
      </x:c>
      <x:c r="E49" s="18" t="n">
        <x:f>IF($C$34=0,E32,IF(9=$C$35,E32/$C$36,E32-INDEX($C32:$M32,1,$C$34)*INDEX(E$24:E$31,$C$35,1)/$C$36))</x:f>
        <x:v>0</x:v>
      </x:c>
      <x:c r="F49" s="18" t="n">
        <x:f>IF($C$34=0,F32,IF(9=$C$35,F32/$C$36,F32-INDEX($C32:$M32,1,$C$34)*INDEX(F$24:F$31,$C$35,1)/$C$36))</x:f>
        <x:v>0</x:v>
      </x:c>
      <x:c r="G49" s="18" t="n">
        <x:f>IF($C$34=0,G32,IF(9=$C$35,G32/$C$36,G32-INDEX($C32:$M32,1,$C$34)*INDEX(G$24:G$31,$C$35,1)/$C$36))</x:f>
        <x:v>0</x:v>
      </x:c>
      <x:c r="H49" s="18" t="n">
        <x:f>IF($C$34=0,H32,IF(9=$C$35,H32/$C$36,H32-INDEX($C32:$M32,1,$C$34)*INDEX(H$24:H$31,$C$35,1)/$C$36))</x:f>
        <x:v>0</x:v>
      </x:c>
      <x:c r="I49" s="18" t="n">
        <x:f>IF($C$34=0,I32,IF(9=$C$35,I32/$C$36,I32-INDEX($C32:$M32,1,$C$34)*INDEX(I$24:I$31,$C$35,1)/$C$36))</x:f>
        <x:v>8000</x:v>
      </x:c>
      <x:c r="J49" s="18" t="n">
        <x:f>IF($C$34=0,J32,IF(9=$C$35,J32/$C$36,J32-INDEX($C32:$M32,1,$C$34)*INDEX(J$24:J$31,$C$35,1)/$C$36))</x:f>
        <x:v>0</x:v>
      </x:c>
      <x:c r="K49" s="18" t="n">
        <x:f>IF($C$34=0,K32,IF(9=$C$35,K32/$C$36,K32-INDEX($C32:$M32,1,$C$34)*INDEX(K$24:K$31,$C$35,1)/$C$36))</x:f>
        <x:v>0</x:v>
      </x:c>
      <x:c r="L49" s="18" t="n">
        <x:f>IF($C$34=0,L32,IF(9=$C$35,L32/$C$36,L32-INDEX($C32:$M32,1,$C$34)*INDEX(L$24:L$31,$C$35,1)/$C$36))</x:f>
        <x:v>0</x:v>
      </x:c>
      <x:c r="M49" s="18" t="n">
        <x:f>IF($C$34=0,M32,IF(9=$C$35,M32/$C$36,M32-INDEX($C32:$M32,1,$C$34)*INDEX(M$24:M$31,$C$35,1)/$C$36))</x:f>
        <x:v>-10000</x:v>
      </x:c>
      <x:c r="N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 t="str">
        <x:v>Входящий №</x:v>
      </x:c>
      <x:c r="B51" s="2"/>
      <x:c r="C51" s="2" t="n">
        <x:f>IF(MIN(C49:M49)&gt;=-1E-8,0,MATCH(MIN(C49:M49),C49:M49,0))</x:f>
        <x:v>11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 t="str">
        <x:v>Выходящая строка</x:v>
      </x:c>
      <x:c r="B52" s="2"/>
      <x:c r="C52" s="2" t="n">
        <x:f>IF(C51=0,0,MATCH(MIN(N41:N48),N41:N48,0))</x:f>
        <x:v>3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 t="str">
        <x:v>Разреш. элемент</x:v>
      </x:c>
      <x:c r="B53" s="2"/>
      <x:c r="C53" s="19" t="n">
        <x:f>IF(C51=0,1,INDEX(C41:M48,C52,C51))</x:f>
        <x:v>3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 t="str">
        <x:v>Статус</x:v>
      </x:c>
      <x:c r="B54" s="2"/>
      <x:c r="C54" s="2" t="str">
        <x:f>IF(MIN(B41:B48)&lt;-1E-7,"Недопустимый базис",IF(C51=0,"Оптимум",IF(COUNT(N41:N48)=0,"Неограничена","Нужен переход")))</x:f>
        <x:v>Нужен переход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 t="str">
        <x:v>Таблица после перехода 3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7" t="str">
        <x:v>Базис №</x:v>
      </x:c>
      <x:c r="B57" s="7" t="str">
        <x:v>b</x:v>
      </x:c>
      <x:c r="C57" s="7" t="str">
        <x:v>x1</x:v>
      </x:c>
      <x:c r="D57" s="7" t="str">
        <x:v>x2</x:v>
      </x:c>
      <x:c r="E57" s="7" t="str">
        <x:v>x3</x:v>
      </x:c>
      <x:c r="F57" s="7" t="str">
        <x:v>s1</x:v>
      </x:c>
      <x:c r="G57" s="7" t="str">
        <x:v>s2</x:v>
      </x:c>
      <x:c r="H57" s="7" t="str">
        <x:v>s3</x:v>
      </x:c>
      <x:c r="I57" s="7" t="str">
        <x:v>s4</x:v>
      </x:c>
      <x:c r="J57" s="7" t="str">
        <x:v>s5</x:v>
      </x:c>
      <x:c r="K57" s="7" t="str">
        <x:v>s6</x:v>
      </x:c>
      <x:c r="L57" s="7" t="str">
        <x:v>s7</x:v>
      </x:c>
      <x:c r="M57" s="7" t="str">
        <x:v>s8</x:v>
      </x:c>
      <x:c r="N57" s="7" t="str">
        <x:v>b / a</x:v>
      </x:c>
    </x:row>
    <x:row r="58" ht="24" customHeight="1">
      <x:c r="A58" s="2" t="n">
        <x:f>IF($C$51=0,A41,IF(1=$C$52,$C$51,A41))</x:f>
        <x:v>4</x:v>
      </x:c>
      <x:c r="B58" s="17" t="n">
        <x:f>IF($C$51=0,B41,IF(1=$C$52,B41/$C$53,B41-INDEX($C41:$M41,1,$C$51)*INDEX(B$41:B$48,$C$52,1)/$C$53))</x:f>
        <x:v>33.33333333333333</x:v>
      </x:c>
      <x:c r="C58" s="17" t="n">
        <x:f>IF($C$51=0,C41,IF(1=$C$52,C41/$C$53,C41-INDEX($C41:$M41,1,$C$51)*INDEX(C$41:C$48,$C$52,1)/$C$53))</x:f>
        <x:v>0.33333333333333326</x:v>
      </x:c>
      <x:c r="D58" s="17" t="n">
        <x:f>IF($C$51=0,D41,IF(1=$C$52,D41/$C$53,D41-INDEX($C41:$M41,1,$C$51)*INDEX(D$41:D$48,$C$52,1)/$C$53))</x:f>
        <x:v>0</x:v>
      </x:c>
      <x:c r="E58" s="17" t="n">
        <x:f>IF($C$51=0,E41,IF(1=$C$52,E41/$C$53,E41-INDEX($C41:$M41,1,$C$51)*INDEX(E$41:E$48,$C$52,1)/$C$53))</x:f>
        <x:v>0</x:v>
      </x:c>
      <x:c r="F58" s="17" t="n">
        <x:f>IF($C$51=0,F41,IF(1=$C$52,F41/$C$53,F41-INDEX($C41:$M41,1,$C$51)*INDEX(F$41:F$48,$C$52,1)/$C$53))</x:f>
        <x:v>1</x:v>
      </x:c>
      <x:c r="G58" s="17" t="n">
        <x:f>IF($C$51=0,G41,IF(1=$C$52,G41/$C$53,G41-INDEX($C41:$M41,1,$C$51)*INDEX(G$41:G$48,$C$52,1)/$C$53))</x:f>
        <x:v>0</x:v>
      </x:c>
      <x:c r="H58" s="17" t="n">
        <x:f>IF($C$51=0,H41,IF(1=$C$52,H41/$C$53,H41-INDEX($C41:$M41,1,$C$51)*INDEX(H$41:H$48,$C$52,1)/$C$53))</x:f>
        <x:v>-1.3333333333333333</x:v>
      </x:c>
      <x:c r="I58" s="17" t="n">
        <x:f>IF($C$51=0,I41,IF(1=$C$52,I41/$C$53,I41-INDEX($C41:$M41,1,$C$51)*INDEX(I$41:I$48,$C$52,1)/$C$53))</x:f>
        <x:v>0.6666666666666665</x:v>
      </x:c>
      <x:c r="J58" s="17" t="n">
        <x:f>IF($C$51=0,J41,IF(1=$C$52,J41/$C$53,J41-INDEX($C41:$M41,1,$C$51)*INDEX(J$41:J$48,$C$52,1)/$C$53))</x:f>
        <x:v>0</x:v>
      </x:c>
      <x:c r="K58" s="17" t="n">
        <x:f>IF($C$51=0,K41,IF(1=$C$52,K41/$C$53,K41-INDEX($C41:$M41,1,$C$51)*INDEX(K$41:K$48,$C$52,1)/$C$53))</x:f>
        <x:v>0</x:v>
      </x:c>
      <x:c r="L58" s="17" t="n">
        <x:f>IF($C$51=0,L41,IF(1=$C$52,L41/$C$53,L41-INDEX($C41:$M41,1,$C$51)*INDEX(L$41:L$48,$C$52,1)/$C$53))</x:f>
        <x:v>0</x:v>
      </x:c>
      <x:c r="M58" s="17" t="n">
        <x:f>IF($C$51=0,M41,IF(1=$C$52,M41/$C$53,M41-INDEX($C41:$M41,1,$C$51)*INDEX(M$41:M$48,$C$52,1)/$C$53))</x:f>
        <x:v>0</x:v>
      </x:c>
      <x:c r="N58" s="17" t="n">
        <x:f>IF($C$68=0,"",IF(INDEX(C58:M58,1,$C$68)&gt;1E-8,B58/INDEX(C58:M58,1,$C$68),""))</x:f>
        <x:v>100.00000000000001</x:v>
      </x:c>
    </x:row>
    <x:row r="59" ht="24" customHeight="1">
      <x:c r="A59" s="2" t="n">
        <x:f>IF($C$51=0,A42,IF(2=$C$52,$C$51,A42))</x:f>
        <x:v>5</x:v>
      </x:c>
      <x:c r="B59" s="17" t="n">
        <x:f>IF($C$51=0,B42,IF(2=$C$52,B42/$C$53,B42-INDEX($C42:$M42,1,$C$51)*INDEX(B$41:B$48,$C$52,1)/$C$53))</x:f>
        <x:v>33.333333333333336</x:v>
      </x:c>
      <x:c r="C59" s="17" t="n">
        <x:f>IF($C$51=0,C42,IF(2=$C$52,C42/$C$53,C42-INDEX($C42:$M42,1,$C$51)*INDEX(C$41:C$48,$C$52,1)/$C$53))</x:f>
        <x:v>0.3333333333333333</x:v>
      </x:c>
      <x:c r="D59" s="17" t="n">
        <x:f>IF($C$51=0,D42,IF(2=$C$52,D42/$C$53,D42-INDEX($C42:$M42,1,$C$51)*INDEX(D$41:D$48,$C$52,1)/$C$53))</x:f>
        <x:v>0</x:v>
      </x:c>
      <x:c r="E59" s="17" t="n">
        <x:f>IF($C$51=0,E42,IF(2=$C$52,E42/$C$53,E42-INDEX($C42:$M42,1,$C$51)*INDEX(E$41:E$48,$C$52,1)/$C$53))</x:f>
        <x:v>0</x:v>
      </x:c>
      <x:c r="F59" s="17" t="n">
        <x:f>IF($C$51=0,F42,IF(2=$C$52,F42/$C$53,F42-INDEX($C42:$M42,1,$C$51)*INDEX(F$41:F$48,$C$52,1)/$C$53))</x:f>
        <x:v>0</x:v>
      </x:c>
      <x:c r="G59" s="17" t="n">
        <x:f>IF($C$51=0,G42,IF(2=$C$52,G42/$C$53,G42-INDEX($C42:$M42,1,$C$51)*INDEX(G$41:G$48,$C$52,1)/$C$53))</x:f>
        <x:v>1</x:v>
      </x:c>
      <x:c r="H59" s="17" t="n">
        <x:f>IF($C$51=0,H42,IF(2=$C$52,H42/$C$53,H42-INDEX($C42:$M42,1,$C$51)*INDEX(H$41:H$48,$C$52,1)/$C$53))</x:f>
        <x:v>-0.3333333333333333</x:v>
      </x:c>
      <x:c r="I59" s="17" t="n">
        <x:f>IF($C$51=0,I42,IF(2=$C$52,I42/$C$53,I42-INDEX($C42:$M42,1,$C$51)*INDEX(I$41:I$48,$C$52,1)/$C$53))</x:f>
        <x:v>-0.33333333333333337</x:v>
      </x:c>
      <x:c r="J59" s="17" t="n">
        <x:f>IF($C$51=0,J42,IF(2=$C$52,J42/$C$53,J42-INDEX($C42:$M42,1,$C$51)*INDEX(J$41:J$48,$C$52,1)/$C$53))</x:f>
        <x:v>0</x:v>
      </x:c>
      <x:c r="K59" s="17" t="n">
        <x:f>IF($C$51=0,K42,IF(2=$C$52,K42/$C$53,K42-INDEX($C42:$M42,1,$C$51)*INDEX(K$41:K$48,$C$52,1)/$C$53))</x:f>
        <x:v>0</x:v>
      </x:c>
      <x:c r="L59" s="17" t="n">
        <x:f>IF($C$51=0,L42,IF(2=$C$52,L42/$C$53,L42-INDEX($C42:$M42,1,$C$51)*INDEX(L$41:L$48,$C$52,1)/$C$53))</x:f>
        <x:v>0</x:v>
      </x:c>
      <x:c r="M59" s="17" t="n">
        <x:f>IF($C$51=0,M42,IF(2=$C$52,M42/$C$53,M42-INDEX($C42:$M42,1,$C$51)*INDEX(M$41:M$48,$C$52,1)/$C$53))</x:f>
        <x:v>0</x:v>
      </x:c>
      <x:c r="N59" s="17" t="n">
        <x:f>IF($C$68=0,"",IF(INDEX(C59:M59,1,$C$68)&gt;1E-8,B59/INDEX(C59:M59,1,$C$68),""))</x:f>
        <x:v>100.00000000000001</x:v>
      </x:c>
    </x:row>
    <x:row r="60" ht="24" customHeight="1">
      <x:c r="A60" s="2" t="n">
        <x:f>IF($C$51=0,A43,IF(3=$C$52,$C$51,A43))</x:f>
        <x:v>11</x:v>
      </x:c>
      <x:c r="B60" s="17" t="n">
        <x:f>IF($C$51=0,B43,IF(3=$C$52,B43/$C$53,B43-INDEX($C43:$M43,1,$C$51)*INDEX(B$41:B$48,$C$52,1)/$C$53))</x:f>
        <x:v>6.666666666666667</x:v>
      </x:c>
      <x:c r="C60" s="17" t="n">
        <x:f>IF($C$51=0,C43,IF(3=$C$52,C43/$C$53,C43-INDEX($C43:$M43,1,$C$51)*INDEX(C$41:C$48,$C$52,1)/$C$53))</x:f>
        <x:v>-0.3333333333333333</x:v>
      </x:c>
      <x:c r="D60" s="17" t="n">
        <x:f>IF($C$51=0,D43,IF(3=$C$52,D43/$C$53,D43-INDEX($C43:$M43,1,$C$51)*INDEX(D$41:D$48,$C$52,1)/$C$53))</x:f>
        <x:v>0</x:v>
      </x:c>
      <x:c r="E60" s="17" t="n">
        <x:f>IF($C$51=0,E43,IF(3=$C$52,E43/$C$53,E43-INDEX($C43:$M43,1,$C$51)*INDEX(E$41:E$48,$C$52,1)/$C$53))</x:f>
        <x:v>0</x:v>
      </x:c>
      <x:c r="F60" s="17" t="n">
        <x:f>IF($C$51=0,F43,IF(3=$C$52,F43/$C$53,F43-INDEX($C43:$M43,1,$C$51)*INDEX(F$41:F$48,$C$52,1)/$C$53))</x:f>
        <x:v>0</x:v>
      </x:c>
      <x:c r="G60" s="17" t="n">
        <x:f>IF($C$51=0,G43,IF(3=$C$52,G43/$C$53,G43-INDEX($C43:$M43,1,$C$51)*INDEX(G$41:G$48,$C$52,1)/$C$53))</x:f>
        <x:v>0</x:v>
      </x:c>
      <x:c r="H60" s="17" t="n">
        <x:f>IF($C$51=0,H43,IF(3=$C$52,H43/$C$53,H43-INDEX($C43:$M43,1,$C$51)*INDEX(H$41:H$48,$C$52,1)/$C$53))</x:f>
        <x:v>0.3333333333333333</x:v>
      </x:c>
      <x:c r="I60" s="17" t="n">
        <x:f>IF($C$51=0,I43,IF(3=$C$52,I43/$C$53,I43-INDEX($C43:$M43,1,$C$51)*INDEX(I$41:I$48,$C$52,1)/$C$53))</x:f>
        <x:v>-0.6666666666666666</x:v>
      </x:c>
      <x:c r="J60" s="17" t="n">
        <x:f>IF($C$51=0,J43,IF(3=$C$52,J43/$C$53,J43-INDEX($C43:$M43,1,$C$51)*INDEX(J$41:J$48,$C$52,1)/$C$53))</x:f>
        <x:v>0</x:v>
      </x:c>
      <x:c r="K60" s="17" t="n">
        <x:f>IF($C$51=0,K43,IF(3=$C$52,K43/$C$53,K43-INDEX($C43:$M43,1,$C$51)*INDEX(K$41:K$48,$C$52,1)/$C$53))</x:f>
        <x:v>0</x:v>
      </x:c>
      <x:c r="L60" s="17" t="n">
        <x:f>IF($C$51=0,L43,IF(3=$C$52,L43/$C$53,L43-INDEX($C43:$M43,1,$C$51)*INDEX(L$41:L$48,$C$52,1)/$C$53))</x:f>
        <x:v>0</x:v>
      </x:c>
      <x:c r="M60" s="17" t="n">
        <x:f>IF($C$51=0,M43,IF(3=$C$52,M43/$C$53,M43-INDEX($C43:$M43,1,$C$51)*INDEX(M$41:M$48,$C$52,1)/$C$53))</x:f>
        <x:v>1</x:v>
      </x:c>
      <x:c r="N60" s="17" t="str">
        <x:f>IF($C$68=0,"",IF(INDEX(C60:M60,1,$C$68)&gt;1E-8,B60/INDEX(C60:M60,1,$C$68),""))</x:f>
      </x:c>
    </x:row>
    <x:row r="61" ht="24" customHeight="1">
      <x:c r="A61" s="2" t="n">
        <x:f>IF($C$51=0,A44,IF(4=$C$52,$C$51,A44))</x:f>
        <x:v>2</x:v>
      </x:c>
      <x:c r="B61" s="17" t="n">
        <x:f>IF($C$51=0,B44,IF(4=$C$52,B44/$C$53,B44-INDEX($C44:$M44,1,$C$51)*INDEX(B$41:B$48,$C$52,1)/$C$53))</x:f>
        <x:v>30</x:v>
      </x:c>
      <x:c r="C61" s="17" t="n">
        <x:f>IF($C$51=0,C44,IF(4=$C$52,C44/$C$53,C44-INDEX($C44:$M44,1,$C$51)*INDEX(C$41:C$48,$C$52,1)/$C$53))</x:f>
        <x:v>0</x:v>
      </x:c>
      <x:c r="D61" s="17" t="n">
        <x:f>IF($C$51=0,D44,IF(4=$C$52,D44/$C$53,D44-INDEX($C44:$M44,1,$C$51)*INDEX(D$41:D$48,$C$52,1)/$C$53))</x:f>
        <x:v>1</x:v>
      </x:c>
      <x:c r="E61" s="17" t="n">
        <x:f>IF($C$51=0,E44,IF(4=$C$52,E44/$C$53,E44-INDEX($C44:$M44,1,$C$51)*INDEX(E$41:E$48,$C$52,1)/$C$53))</x:f>
        <x:v>0</x:v>
      </x:c>
      <x:c r="F61" s="17" t="n">
        <x:f>IF($C$51=0,F44,IF(4=$C$52,F44/$C$53,F44-INDEX($C44:$M44,1,$C$51)*INDEX(F$41:F$48,$C$52,1)/$C$53))</x:f>
        <x:v>0</x:v>
      </x:c>
      <x:c r="G61" s="17" t="n">
        <x:f>IF($C$51=0,G44,IF(4=$C$52,G44/$C$53,G44-INDEX($C44:$M44,1,$C$51)*INDEX(G$41:G$48,$C$52,1)/$C$53))</x:f>
        <x:v>0</x:v>
      </x:c>
      <x:c r="H61" s="17" t="n">
        <x:f>IF($C$51=0,H44,IF(4=$C$52,H44/$C$53,H44-INDEX($C44:$M44,1,$C$51)*INDEX(H$41:H$48,$C$52,1)/$C$53))</x:f>
        <x:v>1</x:v>
      </x:c>
      <x:c r="I61" s="17" t="n">
        <x:f>IF($C$51=0,I44,IF(4=$C$52,I44/$C$53,I44-INDEX($C44:$M44,1,$C$51)*INDEX(I$41:I$48,$C$52,1)/$C$53))</x:f>
        <x:v>-1</x:v>
      </x:c>
      <x:c r="J61" s="17" t="n">
        <x:f>IF($C$51=0,J44,IF(4=$C$52,J44/$C$53,J44-INDEX($C44:$M44,1,$C$51)*INDEX(J$41:J$48,$C$52,1)/$C$53))</x:f>
        <x:v>0</x:v>
      </x:c>
      <x:c r="K61" s="17" t="n">
        <x:f>IF($C$51=0,K44,IF(4=$C$52,K44/$C$53,K44-INDEX($C44:$M44,1,$C$51)*INDEX(K$41:K$48,$C$52,1)/$C$53))</x:f>
        <x:v>0</x:v>
      </x:c>
      <x:c r="L61" s="17" t="n">
        <x:f>IF($C$51=0,L44,IF(4=$C$52,L44/$C$53,L44-INDEX($C44:$M44,1,$C$51)*INDEX(L$41:L$48,$C$52,1)/$C$53))</x:f>
        <x:v>0</x:v>
      </x:c>
      <x:c r="M61" s="17" t="n">
        <x:f>IF($C$51=0,M44,IF(4=$C$52,M44/$C$53,M44-INDEX($C44:$M44,1,$C$51)*INDEX(M$41:M$48,$C$52,1)/$C$53))</x:f>
        <x:v>0</x:v>
      </x:c>
      <x:c r="N61" s="17" t="str">
        <x:f>IF($C$68=0,"",IF(INDEX(C61:M61,1,$C$68)&gt;1E-8,B61/INDEX(C61:M61,1,$C$68),""))</x:f>
      </x:c>
    </x:row>
    <x:row r="62" ht="24" customHeight="1">
      <x:c r="A62" s="2" t="n">
        <x:f>IF($C$51=0,A45,IF(5=$C$52,$C$51,A45))</x:f>
        <x:v>8</x:v>
      </x:c>
      <x:c r="B62" s="17" t="n">
        <x:f>IF($C$51=0,B45,IF(5=$C$52,B45/$C$53,B45-INDEX($C45:$M45,1,$C$51)*INDEX(B$41:B$48,$C$52,1)/$C$53))</x:f>
        <x:v>13.333333333333336</x:v>
      </x:c>
      <x:c r="C62" s="17" t="n">
        <x:f>IF($C$51=0,C45,IF(5=$C$52,C45/$C$53,C45-INDEX($C45:$M45,1,$C$51)*INDEX(C$41:C$48,$C$52,1)/$C$53))</x:f>
        <x:v>0.3333333333333335</x:v>
      </x:c>
      <x:c r="D62" s="17" t="n">
        <x:f>IF($C$51=0,D45,IF(5=$C$52,D45/$C$53,D45-INDEX($C45:$M45,1,$C$51)*INDEX(D$41:D$48,$C$52,1)/$C$53))</x:f>
        <x:v>0</x:v>
      </x:c>
      <x:c r="E62" s="17" t="n">
        <x:f>IF($C$51=0,E45,IF(5=$C$52,E45/$C$53,E45-INDEX($C45:$M45,1,$C$51)*INDEX(E$41:E$48,$C$52,1)/$C$53))</x:f>
        <x:v>0</x:v>
      </x:c>
      <x:c r="F62" s="17" t="n">
        <x:f>IF($C$51=0,F45,IF(5=$C$52,F45/$C$53,F45-INDEX($C45:$M45,1,$C$51)*INDEX(F$41:F$48,$C$52,1)/$C$53))</x:f>
        <x:v>0</x:v>
      </x:c>
      <x:c r="G62" s="17" t="n">
        <x:f>IF($C$51=0,G45,IF(5=$C$52,G45/$C$53,G45-INDEX($C45:$M45,1,$C$51)*INDEX(G$41:G$48,$C$52,1)/$C$53))</x:f>
        <x:v>0</x:v>
      </x:c>
      <x:c r="H62" s="17" t="n">
        <x:f>IF($C$51=0,H45,IF(5=$C$52,H45/$C$53,H45-INDEX($C45:$M45,1,$C$51)*INDEX(H$41:H$48,$C$52,1)/$C$53))</x:f>
        <x:v>-2.3333333333333335</x:v>
      </x:c>
      <x:c r="I62" s="17" t="n">
        <x:f>IF($C$51=0,I45,IF(5=$C$52,I45/$C$53,I45-INDEX($C45:$M45,1,$C$51)*INDEX(I$41:I$48,$C$52,1)/$C$53))</x:f>
        <x:v>0.666666666666667</x:v>
      </x:c>
      <x:c r="J62" s="17" t="n">
        <x:f>IF($C$51=0,J45,IF(5=$C$52,J45/$C$53,J45-INDEX($C45:$M45,1,$C$51)*INDEX(J$41:J$48,$C$52,1)/$C$53))</x:f>
        <x:v>1</x:v>
      </x:c>
      <x:c r="K62" s="17" t="n">
        <x:f>IF($C$51=0,K45,IF(5=$C$52,K45/$C$53,K45-INDEX($C45:$M45,1,$C$51)*INDEX(K$41:K$48,$C$52,1)/$C$53))</x:f>
        <x:v>0</x:v>
      </x:c>
      <x:c r="L62" s="17" t="n">
        <x:f>IF($C$51=0,L45,IF(5=$C$52,L45/$C$53,L45-INDEX($C45:$M45,1,$C$51)*INDEX(L$41:L$48,$C$52,1)/$C$53))</x:f>
        <x:v>0</x:v>
      </x:c>
      <x:c r="M62" s="17" t="n">
        <x:f>IF($C$51=0,M45,IF(5=$C$52,M45/$C$53,M45-INDEX($C45:$M45,1,$C$51)*INDEX(M$41:M$48,$C$52,1)/$C$53))</x:f>
        <x:v>0</x:v>
      </x:c>
      <x:c r="N62" s="17" t="n">
        <x:f>IF($C$68=0,"",IF(INDEX(C62:M62,1,$C$68)&gt;1E-8,B62/INDEX(C62:M62,1,$C$68),""))</x:f>
        <x:v>39.99999999999999</x:v>
      </x:c>
    </x:row>
    <x:row r="63" ht="24" customHeight="1">
      <x:c r="A63" s="2" t="n">
        <x:f>IF($C$51=0,A46,IF(6=$C$52,$C$51,A46))</x:f>
        <x:v>9</x:v>
      </x:c>
      <x:c r="B63" s="17" t="n">
        <x:f>IF($C$51=0,B46,IF(6=$C$52,B46/$C$53,B46-INDEX($C46:$M46,1,$C$51)*INDEX(B$41:B$48,$C$52,1)/$C$53))</x:f>
        <x:v>60</x:v>
      </x:c>
      <x:c r="C63" s="17" t="n">
        <x:f>IF($C$51=0,C46,IF(6=$C$52,C46/$C$53,C46-INDEX($C46:$M46,1,$C$51)*INDEX(C$41:C$48,$C$52,1)/$C$53))</x:f>
        <x:v>1</x:v>
      </x:c>
      <x:c r="D63" s="17" t="n">
        <x:f>IF($C$51=0,D46,IF(6=$C$52,D46/$C$53,D46-INDEX($C46:$M46,1,$C$51)*INDEX(D$41:D$48,$C$52,1)/$C$53))</x:f>
        <x:v>0</x:v>
      </x:c>
      <x:c r="E63" s="17" t="n">
        <x:f>IF($C$51=0,E46,IF(6=$C$52,E46/$C$53,E46-INDEX($C46:$M46,1,$C$51)*INDEX(E$41:E$48,$C$52,1)/$C$53))</x:f>
        <x:v>0</x:v>
      </x:c>
      <x:c r="F63" s="17" t="n">
        <x:f>IF($C$51=0,F46,IF(6=$C$52,F46/$C$53,F46-INDEX($C46:$M46,1,$C$51)*INDEX(F$41:F$48,$C$52,1)/$C$53))</x:f>
        <x:v>0</x:v>
      </x:c>
      <x:c r="G63" s="17" t="n">
        <x:f>IF($C$51=0,G46,IF(6=$C$52,G46/$C$53,G46-INDEX($C46:$M46,1,$C$51)*INDEX(G$41:G$48,$C$52,1)/$C$53))</x:f>
        <x:v>0</x:v>
      </x:c>
      <x:c r="H63" s="17" t="n">
        <x:f>IF($C$51=0,H46,IF(6=$C$52,H46/$C$53,H46-INDEX($C46:$M46,1,$C$51)*INDEX(H$41:H$48,$C$52,1)/$C$53))</x:f>
        <x:v>0</x:v>
      </x:c>
      <x:c r="I63" s="17" t="n">
        <x:f>IF($C$51=0,I46,IF(6=$C$52,I46/$C$53,I46-INDEX($C46:$M46,1,$C$51)*INDEX(I$41:I$48,$C$52,1)/$C$53))</x:f>
        <x:v>0</x:v>
      </x:c>
      <x:c r="J63" s="17" t="n">
        <x:f>IF($C$51=0,J46,IF(6=$C$52,J46/$C$53,J46-INDEX($C46:$M46,1,$C$51)*INDEX(J$41:J$48,$C$52,1)/$C$53))</x:f>
        <x:v>0</x:v>
      </x:c>
      <x:c r="K63" s="17" t="n">
        <x:f>IF($C$51=0,K46,IF(6=$C$52,K46/$C$53,K46-INDEX($C46:$M46,1,$C$51)*INDEX(K$41:K$48,$C$52,1)/$C$53))</x:f>
        <x:v>1</x:v>
      </x:c>
      <x:c r="L63" s="17" t="n">
        <x:f>IF($C$51=0,L46,IF(6=$C$52,L46/$C$53,L46-INDEX($C46:$M46,1,$C$51)*INDEX(L$41:L$48,$C$52,1)/$C$53))</x:f>
        <x:v>0</x:v>
      </x:c>
      <x:c r="M63" s="17" t="n">
        <x:f>IF($C$51=0,M46,IF(6=$C$52,M46/$C$53,M46-INDEX($C46:$M46,1,$C$51)*INDEX(M$41:M$48,$C$52,1)/$C$53))</x:f>
        <x:v>0</x:v>
      </x:c>
      <x:c r="N63" s="17" t="n">
        <x:f>IF($C$68=0,"",IF(INDEX(C63:M63,1,$C$68)&gt;1E-8,B63/INDEX(C63:M63,1,$C$68),""))</x:f>
        <x:v>60</x:v>
      </x:c>
    </x:row>
    <x:row r="64" ht="24" customHeight="1">
      <x:c r="A64" s="2" t="n">
        <x:f>IF($C$51=0,A47,IF(7=$C$52,$C$51,A47))</x:f>
        <x:v>10</x:v>
      </x:c>
      <x:c r="B64" s="17" t="n">
        <x:f>IF($C$51=0,B47,IF(7=$C$52,B47/$C$53,B47-INDEX($C47:$M47,1,$C$51)*INDEX(B$41:B$48,$C$52,1)/$C$53))</x:f>
        <x:v>20</x:v>
      </x:c>
      <x:c r="C64" s="17" t="n">
        <x:f>IF($C$51=0,C47,IF(7=$C$52,C47/$C$53,C47-INDEX($C47:$M47,1,$C$51)*INDEX(C$41:C$48,$C$52,1)/$C$53))</x:f>
        <x:v>0</x:v>
      </x:c>
      <x:c r="D64" s="17" t="n">
        <x:f>IF($C$51=0,D47,IF(7=$C$52,D47/$C$53,D47-INDEX($C47:$M47,1,$C$51)*INDEX(D$41:D$48,$C$52,1)/$C$53))</x:f>
        <x:v>0</x:v>
      </x:c>
      <x:c r="E64" s="17" t="n">
        <x:f>IF($C$51=0,E47,IF(7=$C$52,E47/$C$53,E47-INDEX($C47:$M47,1,$C$51)*INDEX(E$41:E$48,$C$52,1)/$C$53))</x:f>
        <x:v>0</x:v>
      </x:c>
      <x:c r="F64" s="17" t="n">
        <x:f>IF($C$51=0,F47,IF(7=$C$52,F47/$C$53,F47-INDEX($C47:$M47,1,$C$51)*INDEX(F$41:F$48,$C$52,1)/$C$53))</x:f>
        <x:v>0</x:v>
      </x:c>
      <x:c r="G64" s="17" t="n">
        <x:f>IF($C$51=0,G47,IF(7=$C$52,G47/$C$53,G47-INDEX($C47:$M47,1,$C$51)*INDEX(G$41:G$48,$C$52,1)/$C$53))</x:f>
        <x:v>0</x:v>
      </x:c>
      <x:c r="H64" s="17" t="n">
        <x:f>IF($C$51=0,H47,IF(7=$C$52,H47/$C$53,H47-INDEX($C47:$M47,1,$C$51)*INDEX(H$41:H$48,$C$52,1)/$C$53))</x:f>
        <x:v>-1</x:v>
      </x:c>
      <x:c r="I64" s="17" t="n">
        <x:f>IF($C$51=0,I47,IF(7=$C$52,I47/$C$53,I47-INDEX($C47:$M47,1,$C$51)*INDEX(I$41:I$48,$C$52,1)/$C$53))</x:f>
        <x:v>1</x:v>
      </x:c>
      <x:c r="J64" s="17" t="n">
        <x:f>IF($C$51=0,J47,IF(7=$C$52,J47/$C$53,J47-INDEX($C47:$M47,1,$C$51)*INDEX(J$41:J$48,$C$52,1)/$C$53))</x:f>
        <x:v>0</x:v>
      </x:c>
      <x:c r="K64" s="17" t="n">
        <x:f>IF($C$51=0,K47,IF(7=$C$52,K47/$C$53,K47-INDEX($C47:$M47,1,$C$51)*INDEX(K$41:K$48,$C$52,1)/$C$53))</x:f>
        <x:v>0</x:v>
      </x:c>
      <x:c r="L64" s="17" t="n">
        <x:f>IF($C$51=0,L47,IF(7=$C$52,L47/$C$53,L47-INDEX($C47:$M47,1,$C$51)*INDEX(L$41:L$48,$C$52,1)/$C$53))</x:f>
        <x:v>1</x:v>
      </x:c>
      <x:c r="M64" s="17" t="n">
        <x:f>IF($C$51=0,M47,IF(7=$C$52,M47/$C$53,M47-INDEX($C47:$M47,1,$C$51)*INDEX(M$41:M$48,$C$52,1)/$C$53))</x:f>
        <x:v>0</x:v>
      </x:c>
      <x:c r="N64" s="17" t="str">
        <x:f>IF($C$68=0,"",IF(INDEX(C64:M64,1,$C$68)&gt;1E-8,B64/INDEX(C64:M64,1,$C$68),""))</x:f>
      </x:c>
    </x:row>
    <x:row r="65" ht="24" customHeight="1">
      <x:c r="A65" s="2" t="n">
        <x:f>IF($C$51=0,A48,IF(8=$C$52,$C$51,A48))</x:f>
        <x:v>3</x:v>
      </x:c>
      <x:c r="B65" s="17" t="n">
        <x:f>IF($C$51=0,B48,IF(8=$C$52,B48/$C$53,B48-INDEX($C48:$M48,1,$C$51)*INDEX(B$41:B$48,$C$52,1)/$C$53))</x:f>
        <x:v>33.333333333333336</x:v>
      </x:c>
      <x:c r="C65" s="17" t="n">
        <x:f>IF($C$51=0,C48,IF(8=$C$52,C48/$C$53,C48-INDEX($C48:$M48,1,$C$51)*INDEX(C$41:C$48,$C$52,1)/$C$53))</x:f>
        <x:v>0.3333333333333333</x:v>
      </x:c>
      <x:c r="D65" s="17" t="n">
        <x:f>IF($C$51=0,D48,IF(8=$C$52,D48/$C$53,D48-INDEX($C48:$M48,1,$C$51)*INDEX(D$41:D$48,$C$52,1)/$C$53))</x:f>
        <x:v>0</x:v>
      </x:c>
      <x:c r="E65" s="17" t="n">
        <x:f>IF($C$51=0,E48,IF(8=$C$52,E48/$C$53,E48-INDEX($C48:$M48,1,$C$51)*INDEX(E$41:E$48,$C$52,1)/$C$53))</x:f>
        <x:v>1</x:v>
      </x:c>
      <x:c r="F65" s="17" t="n">
        <x:f>IF($C$51=0,F48,IF(8=$C$52,F48/$C$53,F48-INDEX($C48:$M48,1,$C$51)*INDEX(F$41:F$48,$C$52,1)/$C$53))</x:f>
        <x:v>0</x:v>
      </x:c>
      <x:c r="G65" s="17" t="n">
        <x:f>IF($C$51=0,G48,IF(8=$C$52,G48/$C$53,G48-INDEX($C48:$M48,1,$C$51)*INDEX(G$41:G$48,$C$52,1)/$C$53))</x:f>
        <x:v>0</x:v>
      </x:c>
      <x:c r="H65" s="17" t="n">
        <x:f>IF($C$51=0,H48,IF(8=$C$52,H48/$C$53,H48-INDEX($C48:$M48,1,$C$51)*INDEX(H$41:H$48,$C$52,1)/$C$53))</x:f>
        <x:v>-0.3333333333333333</x:v>
      </x:c>
      <x:c r="I65" s="17" t="n">
        <x:f>IF($C$51=0,I48,IF(8=$C$52,I48/$C$53,I48-INDEX($C48:$M48,1,$C$51)*INDEX(I$41:I$48,$C$52,1)/$C$53))</x:f>
        <x:v>0.6666666666666666</x:v>
      </x:c>
      <x:c r="J65" s="17" t="n">
        <x:f>IF($C$51=0,J48,IF(8=$C$52,J48/$C$53,J48-INDEX($C48:$M48,1,$C$51)*INDEX(J$41:J$48,$C$52,1)/$C$53))</x:f>
        <x:v>0</x:v>
      </x:c>
      <x:c r="K65" s="17" t="n">
        <x:f>IF($C$51=0,K48,IF(8=$C$52,K48/$C$53,K48-INDEX($C48:$M48,1,$C$51)*INDEX(K$41:K$48,$C$52,1)/$C$53))</x:f>
        <x:v>0</x:v>
      </x:c>
      <x:c r="L65" s="17" t="n">
        <x:f>IF($C$51=0,L48,IF(8=$C$52,L48/$C$53,L48-INDEX($C48:$M48,1,$C$51)*INDEX(L$41:L$48,$C$52,1)/$C$53))</x:f>
        <x:v>0</x:v>
      </x:c>
      <x:c r="M65" s="17" t="n">
        <x:f>IF($C$51=0,M48,IF(8=$C$52,M48/$C$53,M48-INDEX($C48:$M48,1,$C$51)*INDEX(M$41:M$48,$C$52,1)/$C$53))</x:f>
        <x:v>0</x:v>
      </x:c>
      <x:c r="N65" s="17" t="n">
        <x:f>IF($C$68=0,"",IF(INDEX(C65:M65,1,$C$68)&gt;1E-8,B65/INDEX(C65:M65,1,$C$68),""))</x:f>
        <x:v>100.00000000000001</x:v>
      </x:c>
    </x:row>
    <x:row r="66" ht="24" customHeight="1">
      <x:c r="A66" s="16" t="str">
        <x:v>Z</x:v>
      </x:c>
      <x:c r="B66" s="18" t="n">
        <x:f>IF($C$51=0,B49,IF(9=$C$52,B49/$C$53,B49-INDEX($C49:$M49,1,$C$51)*INDEX(B$41:B$48,$C$52,1)/$C$53))</x:f>
        <x:v>706666.6666666666</x:v>
      </x:c>
      <x:c r="C66" s="18" t="n">
        <x:f>IF($C$51=0,C49,IF(9=$C$52,C49/$C$53,C49-INDEX($C49:$M49,1,$C$51)*INDEX(C$41:C$48,$C$52,1)/$C$53))</x:f>
        <x:v>-333.3333333333335</x:v>
      </x:c>
      <x:c r="D66" s="18" t="n">
        <x:f>IF($C$51=0,D49,IF(9=$C$52,D49/$C$53,D49-INDEX($C49:$M49,1,$C$51)*INDEX(D$41:D$48,$C$52,1)/$C$53))</x:f>
        <x:v>0</x:v>
      </x:c>
      <x:c r="E66" s="18" t="n">
        <x:f>IF($C$51=0,E49,IF(9=$C$52,E49/$C$53,E49-INDEX($C49:$M49,1,$C$51)*INDEX(E$41:E$48,$C$52,1)/$C$53))</x:f>
        <x:v>0</x:v>
      </x:c>
      <x:c r="F66" s="18" t="n">
        <x:f>IF($C$51=0,F49,IF(9=$C$52,F49/$C$53,F49-INDEX($C49:$M49,1,$C$51)*INDEX(F$41:F$48,$C$52,1)/$C$53))</x:f>
        <x:v>0</x:v>
      </x:c>
      <x:c r="G66" s="18" t="n">
        <x:f>IF($C$51=0,G49,IF(9=$C$52,G49/$C$53,G49-INDEX($C49:$M49,1,$C$51)*INDEX(G$41:G$48,$C$52,1)/$C$53))</x:f>
        <x:v>0</x:v>
      </x:c>
      <x:c r="H66" s="18" t="n">
        <x:f>IF($C$51=0,H49,IF(9=$C$52,H49/$C$53,H49-INDEX($C49:$M49,1,$C$51)*INDEX(H$41:H$48,$C$52,1)/$C$53))</x:f>
        <x:v>3333.3333333333335</x:v>
      </x:c>
      <x:c r="I66" s="18" t="n">
        <x:f>IF($C$51=0,I49,IF(9=$C$52,I49/$C$53,I49-INDEX($C49:$M49,1,$C$51)*INDEX(I$41:I$48,$C$52,1)/$C$53))</x:f>
        <x:v>1333.333333333333</x:v>
      </x:c>
      <x:c r="J66" s="18" t="n">
        <x:f>IF($C$51=0,J49,IF(9=$C$52,J49/$C$53,J49-INDEX($C49:$M49,1,$C$51)*INDEX(J$41:J$48,$C$52,1)/$C$53))</x:f>
        <x:v>0</x:v>
      </x:c>
      <x:c r="K66" s="18" t="n">
        <x:f>IF($C$51=0,K49,IF(9=$C$52,K49/$C$53,K49-INDEX($C49:$M49,1,$C$51)*INDEX(K$41:K$48,$C$52,1)/$C$53))</x:f>
        <x:v>0</x:v>
      </x:c>
      <x:c r="L66" s="18" t="n">
        <x:f>IF($C$51=0,L49,IF(9=$C$52,L49/$C$53,L49-INDEX($C49:$M49,1,$C$51)*INDEX(L$41:L$48,$C$52,1)/$C$53))</x:f>
        <x:v>0</x:v>
      </x:c>
      <x:c r="M66" s="18" t="n">
        <x:f>IF($C$51=0,M49,IF(9=$C$52,M49/$C$53,M49-INDEX($C49:$M49,1,$C$51)*INDEX(M$41:M$48,$C$52,1)/$C$53))</x:f>
        <x:v>0</x:v>
      </x:c>
      <x:c r="N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4" customHeight="1">
      <x:c r="A68" s="2" t="str">
        <x:v>Входящий №</x:v>
      </x:c>
      <x:c r="B68" s="2"/>
      <x:c r="C68" s="2" t="n">
        <x:f>IF(MIN(C66:M66)&gt;=-1E-8,0,MATCH(MIN(C66:M66),C66:M66,0))</x:f>
        <x:v>1</x:v>
      </x:c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4" customHeight="1">
      <x:c r="A69" s="2" t="str">
        <x:v>Выходящая строка</x:v>
      </x:c>
      <x:c r="B69" s="2"/>
      <x:c r="C69" s="2" t="n">
        <x:f>IF(C68=0,0,MATCH(MIN(N58:N65),N58:N65,0))</x:f>
        <x:v>5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4" customHeight="1">
      <x:c r="A70" s="2" t="str">
        <x:v>Разреш. элемент</x:v>
      </x:c>
      <x:c r="B70" s="2"/>
      <x:c r="C70" s="19" t="n">
        <x:f>IF(C68=0,1,INDEX(C58:M65,C69,C68))</x:f>
        <x:v>0.3333333333333335</x:v>
      </x:c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4" customHeight="1">
      <x:c r="A71" s="2" t="str">
        <x:v>Статус</x:v>
      </x:c>
      <x:c r="B71" s="2"/>
      <x:c r="C71" s="2" t="str">
        <x:f>IF(MIN(B58:B65)&lt;-1E-7,"Недопустимый базис",IF(C68=0,"Оптимум",IF(COUNT(N58:N65)=0,"Неограничена","Нужен переход")))</x:f>
        <x:v>Нужен переход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4" customHeight="1">
      <x:c r="A73" s="2" t="str">
        <x:v>Таблица после перехода 4</x:v>
      </x:c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4" customHeight="1">
      <x:c r="A74" s="7" t="str">
        <x:v>Базис №</x:v>
      </x:c>
      <x:c r="B74" s="7" t="str">
        <x:v>b</x:v>
      </x:c>
      <x:c r="C74" s="7" t="str">
        <x:v>x1</x:v>
      </x:c>
      <x:c r="D74" s="7" t="str">
        <x:v>x2</x:v>
      </x:c>
      <x:c r="E74" s="7" t="str">
        <x:v>x3</x:v>
      </x:c>
      <x:c r="F74" s="7" t="str">
        <x:v>s1</x:v>
      </x:c>
      <x:c r="G74" s="7" t="str">
        <x:v>s2</x:v>
      </x:c>
      <x:c r="H74" s="7" t="str">
        <x:v>s3</x:v>
      </x:c>
      <x:c r="I74" s="7" t="str">
        <x:v>s4</x:v>
      </x:c>
      <x:c r="J74" s="7" t="str">
        <x:v>s5</x:v>
      </x:c>
      <x:c r="K74" s="7" t="str">
        <x:v>s6</x:v>
      </x:c>
      <x:c r="L74" s="7" t="str">
        <x:v>s7</x:v>
      </x:c>
      <x:c r="M74" s="7" t="str">
        <x:v>s8</x:v>
      </x:c>
      <x:c r="N74" s="7" t="str">
        <x:v>b / a</x:v>
      </x:c>
    </x:row>
    <x:row r="75" ht="24" customHeight="1">
      <x:c r="A75" s="2" t="n">
        <x:f>IF($C$68=0,A58,IF(1=$C$69,$C$68,A58))</x:f>
        <x:v>4</x:v>
      </x:c>
      <x:c r="B75" s="17" t="n">
        <x:f>IF($C$68=0,B58,IF(1=$C$69,B58/$C$70,B58-INDEX($C58:$M58,1,$C$68)*INDEX(B$58:B$65,$C$69,1)/$C$70))</x:f>
        <x:v>20</x:v>
      </x:c>
      <x:c r="C75" s="17" t="n">
        <x:f>IF($C$68=0,C58,IF(1=$C$69,C58/$C$70,C58-INDEX($C58:$M58,1,$C$68)*INDEX(C$58:C$65,$C$69,1)/$C$70))</x:f>
        <x:v>0</x:v>
      </x:c>
      <x:c r="D75" s="17" t="n">
        <x:f>IF($C$68=0,D58,IF(1=$C$69,D58/$C$70,D58-INDEX($C58:$M58,1,$C$68)*INDEX(D$58:D$65,$C$69,1)/$C$70))</x:f>
        <x:v>0</x:v>
      </x:c>
      <x:c r="E75" s="17" t="n">
        <x:f>IF($C$68=0,E58,IF(1=$C$69,E58/$C$70,E58-INDEX($C58:$M58,1,$C$68)*INDEX(E$58:E$65,$C$69,1)/$C$70))</x:f>
        <x:v>0</x:v>
      </x:c>
      <x:c r="F75" s="17" t="n">
        <x:f>IF($C$68=0,F58,IF(1=$C$69,F58/$C$70,F58-INDEX($C58:$M58,1,$C$68)*INDEX(F$58:F$65,$C$69,1)/$C$70))</x:f>
        <x:v>1</x:v>
      </x:c>
      <x:c r="G75" s="17" t="n">
        <x:f>IF($C$68=0,G58,IF(1=$C$69,G58/$C$70,G58-INDEX($C58:$M58,1,$C$68)*INDEX(G$58:G$65,$C$69,1)/$C$70))</x:f>
        <x:v>0</x:v>
      </x:c>
      <x:c r="H75" s="17" t="n">
        <x:f>IF($C$68=0,H58,IF(1=$C$69,H58/$C$70,H58-INDEX($C58:$M58,1,$C$68)*INDEX(H$58:H$65,$C$69,1)/$C$70))</x:f>
        <x:v>0.9999999999999989</x:v>
      </x:c>
      <x:c r="I75" s="17" t="n">
        <x:f>IF($C$68=0,I58,IF(1=$C$69,I58/$C$70,I58-INDEX($C58:$M58,1,$C$68)*INDEX(I$58:I$65,$C$69,1)/$C$70))</x:f>
        <x:v>0</x:v>
      </x:c>
      <x:c r="J75" s="17" t="n">
        <x:f>IF($C$68=0,J58,IF(1=$C$69,J58/$C$70,J58-INDEX($C58:$M58,1,$C$68)*INDEX(J$58:J$65,$C$69,1)/$C$70))</x:f>
        <x:v>-0.9999999999999993</x:v>
      </x:c>
      <x:c r="K75" s="17" t="n">
        <x:f>IF($C$68=0,K58,IF(1=$C$69,K58/$C$70,K58-INDEX($C58:$M58,1,$C$68)*INDEX(K$58:K$65,$C$69,1)/$C$70))</x:f>
        <x:v>0</x:v>
      </x:c>
      <x:c r="L75" s="17" t="n">
        <x:f>IF($C$68=0,L58,IF(1=$C$69,L58/$C$70,L58-INDEX($C58:$M58,1,$C$68)*INDEX(L$58:L$65,$C$69,1)/$C$70))</x:f>
        <x:v>0</x:v>
      </x:c>
      <x:c r="M75" s="17" t="n">
        <x:f>IF($C$68=0,M58,IF(1=$C$69,M58/$C$70,M58-INDEX($C58:$M58,1,$C$68)*INDEX(M$58:M$65,$C$69,1)/$C$70))</x:f>
        <x:v>0</x:v>
      </x:c>
      <x:c r="N75" s="17" t="str">
        <x:f>IF($C$85=0,"",IF(INDEX(C75:M75,1,$C$85)&gt;1E-8,B75/INDEX(C75:M75,1,$C$85),""))</x:f>
      </x:c>
    </x:row>
    <x:row r="76" ht="24" customHeight="1">
      <x:c r="A76" s="2" t="n">
        <x:f>IF($C$68=0,A59,IF(2=$C$69,$C$68,A59))</x:f>
        <x:v>5</x:v>
      </x:c>
      <x:c r="B76" s="17" t="n">
        <x:f>IF($C$68=0,B59,IF(2=$C$69,B59/$C$70,B59-INDEX($C59:$M59,1,$C$68)*INDEX(B$58:B$65,$C$69,1)/$C$70))</x:f>
        <x:v>20.000000000000007</x:v>
      </x:c>
      <x:c r="C76" s="17" t="n">
        <x:f>IF($C$68=0,C59,IF(2=$C$69,C59/$C$70,C59-INDEX($C59:$M59,1,$C$68)*INDEX(C$58:C$65,$C$69,1)/$C$70))</x:f>
        <x:v>0</x:v>
      </x:c>
      <x:c r="D76" s="17" t="n">
        <x:f>IF($C$68=0,D59,IF(2=$C$69,D59/$C$70,D59-INDEX($C59:$M59,1,$C$68)*INDEX(D$58:D$65,$C$69,1)/$C$70))</x:f>
        <x:v>0</x:v>
      </x:c>
      <x:c r="E76" s="17" t="n">
        <x:f>IF($C$68=0,E59,IF(2=$C$69,E59/$C$70,E59-INDEX($C59:$M59,1,$C$68)*INDEX(E$58:E$65,$C$69,1)/$C$70))</x:f>
        <x:v>0</x:v>
      </x:c>
      <x:c r="F76" s="17" t="n">
        <x:f>IF($C$68=0,F59,IF(2=$C$69,F59/$C$70,F59-INDEX($C59:$M59,1,$C$68)*INDEX(F$58:F$65,$C$69,1)/$C$70))</x:f>
        <x:v>0</x:v>
      </x:c>
      <x:c r="G76" s="17" t="n">
        <x:f>IF($C$68=0,G59,IF(2=$C$69,G59/$C$70,G59-INDEX($C59:$M59,1,$C$68)*INDEX(G$58:G$65,$C$69,1)/$C$70))</x:f>
        <x:v>1</x:v>
      </x:c>
      <x:c r="H76" s="17" t="n">
        <x:f>IF($C$68=0,H59,IF(2=$C$69,H59/$C$70,H59-INDEX($C59:$M59,1,$C$68)*INDEX(H$58:H$65,$C$69,1)/$C$70))</x:f>
        <x:v>1.999999999999999</x:v>
      </x:c>
      <x:c r="I76" s="17" t="n">
        <x:f>IF($C$68=0,I59,IF(2=$C$69,I59/$C$70,I59-INDEX($C59:$M59,1,$C$68)*INDEX(I$58:I$65,$C$69,1)/$C$70))</x:f>
        <x:v>-1</x:v>
      </x:c>
      <x:c r="J76" s="17" t="n">
        <x:f>IF($C$68=0,J59,IF(2=$C$69,J59/$C$70,J59-INDEX($C59:$M59,1,$C$68)*INDEX(J$58:J$65,$C$69,1)/$C$70))</x:f>
        <x:v>-0.9999999999999996</x:v>
      </x:c>
      <x:c r="K76" s="17" t="n">
        <x:f>IF($C$68=0,K59,IF(2=$C$69,K59/$C$70,K59-INDEX($C59:$M59,1,$C$68)*INDEX(K$58:K$65,$C$69,1)/$C$70))</x:f>
        <x:v>0</x:v>
      </x:c>
      <x:c r="L76" s="17" t="n">
        <x:f>IF($C$68=0,L59,IF(2=$C$69,L59/$C$70,L59-INDEX($C59:$M59,1,$C$68)*INDEX(L$58:L$65,$C$69,1)/$C$70))</x:f>
        <x:v>0</x:v>
      </x:c>
      <x:c r="M76" s="17" t="n">
        <x:f>IF($C$68=0,M59,IF(2=$C$69,M59/$C$70,M59-INDEX($C59:$M59,1,$C$68)*INDEX(M$58:M$65,$C$69,1)/$C$70))</x:f>
        <x:v>0</x:v>
      </x:c>
      <x:c r="N76" s="17" t="str">
        <x:f>IF($C$85=0,"",IF(INDEX(C76:M76,1,$C$85)&gt;1E-8,B76/INDEX(C76:M76,1,$C$85),""))</x:f>
      </x:c>
    </x:row>
    <x:row r="77" ht="24" customHeight="1">
      <x:c r="A77" s="2" t="n">
        <x:f>IF($C$68=0,A60,IF(3=$C$69,$C$68,A60))</x:f>
        <x:v>11</x:v>
      </x:c>
      <x:c r="B77" s="17" t="n">
        <x:f>IF($C$68=0,B60,IF(3=$C$69,B60/$C$70,B60-INDEX($C60:$M60,1,$C$68)*INDEX(B$58:B$65,$C$69,1)/$C$70))</x:f>
        <x:v>19.999999999999996</x:v>
      </x:c>
      <x:c r="C77" s="17" t="n">
        <x:f>IF($C$68=0,C60,IF(3=$C$69,C60/$C$70,C60-INDEX($C60:$M60,1,$C$68)*INDEX(C$58:C$65,$C$69,1)/$C$70))</x:f>
        <x:v>0</x:v>
      </x:c>
      <x:c r="D77" s="17" t="n">
        <x:f>IF($C$68=0,D60,IF(3=$C$69,D60/$C$70,D60-INDEX($C60:$M60,1,$C$68)*INDEX(D$58:D$65,$C$69,1)/$C$70))</x:f>
        <x:v>0</x:v>
      </x:c>
      <x:c r="E77" s="17" t="n">
        <x:f>IF($C$68=0,E60,IF(3=$C$69,E60/$C$70,E60-INDEX($C60:$M60,1,$C$68)*INDEX(E$58:E$65,$C$69,1)/$C$70))</x:f>
        <x:v>0</x:v>
      </x:c>
      <x:c r="F77" s="17" t="n">
        <x:f>IF($C$68=0,F60,IF(3=$C$69,F60/$C$70,F60-INDEX($C60:$M60,1,$C$68)*INDEX(F$58:F$65,$C$69,1)/$C$70))</x:f>
        <x:v>0</x:v>
      </x:c>
      <x:c r="G77" s="17" t="n">
        <x:f>IF($C$68=0,G60,IF(3=$C$69,G60/$C$70,G60-INDEX($C60:$M60,1,$C$68)*INDEX(G$58:G$65,$C$69,1)/$C$70))</x:f>
        <x:v>0</x:v>
      </x:c>
      <x:c r="H77" s="17" t="n">
        <x:f>IF($C$68=0,H60,IF(3=$C$69,H60/$C$70,H60-INDEX($C60:$M60,1,$C$68)*INDEX(H$58:H$65,$C$69,1)/$C$70))</x:f>
        <x:v>-1.999999999999999</x:v>
      </x:c>
      <x:c r="I77" s="17" t="n">
        <x:f>IF($C$68=0,I60,IF(3=$C$69,I60/$C$70,I60-INDEX($C60:$M60,1,$C$68)*INDEX(I$58:I$65,$C$69,1)/$C$70))</x:f>
        <x:v>0</x:v>
      </x:c>
      <x:c r="J77" s="17" t="n">
        <x:f>IF($C$68=0,J60,IF(3=$C$69,J60/$C$70,J60-INDEX($C60:$M60,1,$C$68)*INDEX(J$58:J$65,$C$69,1)/$C$70))</x:f>
        <x:v>0.9999999999999996</x:v>
      </x:c>
      <x:c r="K77" s="17" t="n">
        <x:f>IF($C$68=0,K60,IF(3=$C$69,K60/$C$70,K60-INDEX($C60:$M60,1,$C$68)*INDEX(K$58:K$65,$C$69,1)/$C$70))</x:f>
        <x:v>0</x:v>
      </x:c>
      <x:c r="L77" s="17" t="n">
        <x:f>IF($C$68=0,L60,IF(3=$C$69,L60/$C$70,L60-INDEX($C60:$M60,1,$C$68)*INDEX(L$58:L$65,$C$69,1)/$C$70))</x:f>
        <x:v>0</x:v>
      </x:c>
      <x:c r="M77" s="17" t="n">
        <x:f>IF($C$68=0,M60,IF(3=$C$69,M60/$C$70,M60-INDEX($C60:$M60,1,$C$68)*INDEX(M$58:M$65,$C$69,1)/$C$70))</x:f>
        <x:v>1</x:v>
      </x:c>
      <x:c r="N77" s="17" t="str">
        <x:f>IF($C$85=0,"",IF(INDEX(C77:M77,1,$C$85)&gt;1E-8,B77/INDEX(C77:M77,1,$C$85),""))</x:f>
      </x:c>
    </x:row>
    <x:row r="78" ht="24" customHeight="1">
      <x:c r="A78" s="2" t="n">
        <x:f>IF($C$68=0,A61,IF(4=$C$69,$C$68,A61))</x:f>
        <x:v>2</x:v>
      </x:c>
      <x:c r="B78" s="17" t="n">
        <x:f>IF($C$68=0,B61,IF(4=$C$69,B61/$C$70,B61-INDEX($C61:$M61,1,$C$68)*INDEX(B$58:B$65,$C$69,1)/$C$70))</x:f>
        <x:v>30</x:v>
      </x:c>
      <x:c r="C78" s="17" t="n">
        <x:f>IF($C$68=0,C61,IF(4=$C$69,C61/$C$70,C61-INDEX($C61:$M61,1,$C$68)*INDEX(C$58:C$65,$C$69,1)/$C$70))</x:f>
        <x:v>0</x:v>
      </x:c>
      <x:c r="D78" s="17" t="n">
        <x:f>IF($C$68=0,D61,IF(4=$C$69,D61/$C$70,D61-INDEX($C61:$M61,1,$C$68)*INDEX(D$58:D$65,$C$69,1)/$C$70))</x:f>
        <x:v>1</x:v>
      </x:c>
      <x:c r="E78" s="17" t="n">
        <x:f>IF($C$68=0,E61,IF(4=$C$69,E61/$C$70,E61-INDEX($C61:$M61,1,$C$68)*INDEX(E$58:E$65,$C$69,1)/$C$70))</x:f>
        <x:v>0</x:v>
      </x:c>
      <x:c r="F78" s="17" t="n">
        <x:f>IF($C$68=0,F61,IF(4=$C$69,F61/$C$70,F61-INDEX($C61:$M61,1,$C$68)*INDEX(F$58:F$65,$C$69,1)/$C$70))</x:f>
        <x:v>0</x:v>
      </x:c>
      <x:c r="G78" s="17" t="n">
        <x:f>IF($C$68=0,G61,IF(4=$C$69,G61/$C$70,G61-INDEX($C61:$M61,1,$C$68)*INDEX(G$58:G$65,$C$69,1)/$C$70))</x:f>
        <x:v>0</x:v>
      </x:c>
      <x:c r="H78" s="17" t="n">
        <x:f>IF($C$68=0,H61,IF(4=$C$69,H61/$C$70,H61-INDEX($C61:$M61,1,$C$68)*INDEX(H$58:H$65,$C$69,1)/$C$70))</x:f>
        <x:v>1</x:v>
      </x:c>
      <x:c r="I78" s="17" t="n">
        <x:f>IF($C$68=0,I61,IF(4=$C$69,I61/$C$70,I61-INDEX($C61:$M61,1,$C$68)*INDEX(I$58:I$65,$C$69,1)/$C$70))</x:f>
        <x:v>-1</x:v>
      </x:c>
      <x:c r="J78" s="17" t="n">
        <x:f>IF($C$68=0,J61,IF(4=$C$69,J61/$C$70,J61-INDEX($C61:$M61,1,$C$68)*INDEX(J$58:J$65,$C$69,1)/$C$70))</x:f>
        <x:v>0</x:v>
      </x:c>
      <x:c r="K78" s="17" t="n">
        <x:f>IF($C$68=0,K61,IF(4=$C$69,K61/$C$70,K61-INDEX($C61:$M61,1,$C$68)*INDEX(K$58:K$65,$C$69,1)/$C$70))</x:f>
        <x:v>0</x:v>
      </x:c>
      <x:c r="L78" s="17" t="n">
        <x:f>IF($C$68=0,L61,IF(4=$C$69,L61/$C$70,L61-INDEX($C61:$M61,1,$C$68)*INDEX(L$58:L$65,$C$69,1)/$C$70))</x:f>
        <x:v>0</x:v>
      </x:c>
      <x:c r="M78" s="17" t="n">
        <x:f>IF($C$68=0,M61,IF(4=$C$69,M61/$C$70,M61-INDEX($C61:$M61,1,$C$68)*INDEX(M$58:M$65,$C$69,1)/$C$70))</x:f>
        <x:v>0</x:v>
      </x:c>
      <x:c r="N78" s="17" t="str">
        <x:f>IF($C$85=0,"",IF(INDEX(C78:M78,1,$C$85)&gt;1E-8,B78/INDEX(C78:M78,1,$C$85),""))</x:f>
      </x:c>
    </x:row>
    <x:row r="79" ht="24" customHeight="1">
      <x:c r="A79" s="2" t="n">
        <x:f>IF($C$68=0,A62,IF(5=$C$69,$C$68,A62))</x:f>
        <x:v>1</x:v>
      </x:c>
      <x:c r="B79" s="17" t="n">
        <x:f>IF($C$68=0,B62,IF(5=$C$69,B62/$C$70,B62-INDEX($C62:$M62,1,$C$68)*INDEX(B$58:B$65,$C$69,1)/$C$70))</x:f>
        <x:v>39.99999999999999</x:v>
      </x:c>
      <x:c r="C79" s="17" t="n">
        <x:f>IF($C$68=0,C62,IF(5=$C$69,C62/$C$70,C62-INDEX($C62:$M62,1,$C$68)*INDEX(C$58:C$65,$C$69,1)/$C$70))</x:f>
        <x:v>1</x:v>
      </x:c>
      <x:c r="D79" s="17" t="n">
        <x:f>IF($C$68=0,D62,IF(5=$C$69,D62/$C$70,D62-INDEX($C62:$M62,1,$C$68)*INDEX(D$58:D$65,$C$69,1)/$C$70))</x:f>
        <x:v>0</x:v>
      </x:c>
      <x:c r="E79" s="17" t="n">
        <x:f>IF($C$68=0,E62,IF(5=$C$69,E62/$C$70,E62-INDEX($C62:$M62,1,$C$68)*INDEX(E$58:E$65,$C$69,1)/$C$70))</x:f>
        <x:v>0</x:v>
      </x:c>
      <x:c r="F79" s="17" t="n">
        <x:f>IF($C$68=0,F62,IF(5=$C$69,F62/$C$70,F62-INDEX($C62:$M62,1,$C$68)*INDEX(F$58:F$65,$C$69,1)/$C$70))</x:f>
        <x:v>0</x:v>
      </x:c>
      <x:c r="G79" s="17" t="n">
        <x:f>IF($C$68=0,G62,IF(5=$C$69,G62/$C$70,G62-INDEX($C62:$M62,1,$C$68)*INDEX(G$58:G$65,$C$69,1)/$C$70))</x:f>
        <x:v>0</x:v>
      </x:c>
      <x:c r="H79" s="17" t="n">
        <x:f>IF($C$68=0,H62,IF(5=$C$69,H62/$C$70,H62-INDEX($C62:$M62,1,$C$68)*INDEX(H$58:H$65,$C$69,1)/$C$70))</x:f>
        <x:v>-6.999999999999997</x:v>
      </x:c>
      <x:c r="I79" s="17" t="n">
        <x:f>IF($C$68=0,I62,IF(5=$C$69,I62/$C$70,I62-INDEX($C62:$M62,1,$C$68)*INDEX(I$58:I$65,$C$69,1)/$C$70))</x:f>
        <x:v>2</x:v>
      </x:c>
      <x:c r="J79" s="17" t="n">
        <x:f>IF($C$68=0,J62,IF(5=$C$69,J62/$C$70,J62-INDEX($C62:$M62,1,$C$68)*INDEX(J$58:J$65,$C$69,1)/$C$70))</x:f>
        <x:v>2.9999999999999987</x:v>
      </x:c>
      <x:c r="K79" s="17" t="n">
        <x:f>IF($C$68=0,K62,IF(5=$C$69,K62/$C$70,K62-INDEX($C62:$M62,1,$C$68)*INDEX(K$58:K$65,$C$69,1)/$C$70))</x:f>
        <x:v>0</x:v>
      </x:c>
      <x:c r="L79" s="17" t="n">
        <x:f>IF($C$68=0,L62,IF(5=$C$69,L62/$C$70,L62-INDEX($C62:$M62,1,$C$68)*INDEX(L$58:L$65,$C$69,1)/$C$70))</x:f>
        <x:v>0</x:v>
      </x:c>
      <x:c r="M79" s="17" t="n">
        <x:f>IF($C$68=0,M62,IF(5=$C$69,M62/$C$70,M62-INDEX($C62:$M62,1,$C$68)*INDEX(M$58:M$65,$C$69,1)/$C$70))</x:f>
        <x:v>0</x:v>
      </x:c>
      <x:c r="N79" s="17" t="str">
        <x:f>IF($C$85=0,"",IF(INDEX(C79:M79,1,$C$85)&gt;1E-8,B79/INDEX(C79:M79,1,$C$85),""))</x:f>
      </x:c>
    </x:row>
    <x:row r="80" ht="24" customHeight="1">
      <x:c r="A80" s="2" t="n">
        <x:f>IF($C$68=0,A63,IF(6=$C$69,$C$68,A63))</x:f>
        <x:v>9</x:v>
      </x:c>
      <x:c r="B80" s="17" t="n">
        <x:f>IF($C$68=0,B63,IF(6=$C$69,B63/$C$70,B63-INDEX($C63:$M63,1,$C$68)*INDEX(B$58:B$65,$C$69,1)/$C$70))</x:f>
        <x:v>20.000000000000007</x:v>
      </x:c>
      <x:c r="C80" s="17" t="n">
        <x:f>IF($C$68=0,C63,IF(6=$C$69,C63/$C$70,C63-INDEX($C63:$M63,1,$C$68)*INDEX(C$58:C$65,$C$69,1)/$C$70))</x:f>
        <x:v>0</x:v>
      </x:c>
      <x:c r="D80" s="17" t="n">
        <x:f>IF($C$68=0,D63,IF(6=$C$69,D63/$C$70,D63-INDEX($C63:$M63,1,$C$68)*INDEX(D$58:D$65,$C$69,1)/$C$70))</x:f>
        <x:v>0</x:v>
      </x:c>
      <x:c r="E80" s="17" t="n">
        <x:f>IF($C$68=0,E63,IF(6=$C$69,E63/$C$70,E63-INDEX($C63:$M63,1,$C$68)*INDEX(E$58:E$65,$C$69,1)/$C$70))</x:f>
        <x:v>0</x:v>
      </x:c>
      <x:c r="F80" s="17" t="n">
        <x:f>IF($C$68=0,F63,IF(6=$C$69,F63/$C$70,F63-INDEX($C63:$M63,1,$C$68)*INDEX(F$58:F$65,$C$69,1)/$C$70))</x:f>
        <x:v>0</x:v>
      </x:c>
      <x:c r="G80" s="17" t="n">
        <x:f>IF($C$68=0,G63,IF(6=$C$69,G63/$C$70,G63-INDEX($C63:$M63,1,$C$68)*INDEX(G$58:G$65,$C$69,1)/$C$70))</x:f>
        <x:v>0</x:v>
      </x:c>
      <x:c r="H80" s="17" t="n">
        <x:f>IF($C$68=0,H63,IF(6=$C$69,H63/$C$70,H63-INDEX($C63:$M63,1,$C$68)*INDEX(H$58:H$65,$C$69,1)/$C$70))</x:f>
        <x:v>6.999999999999997</x:v>
      </x:c>
      <x:c r="I80" s="17" t="n">
        <x:f>IF($C$68=0,I63,IF(6=$C$69,I63/$C$70,I63-INDEX($C63:$M63,1,$C$68)*INDEX(I$58:I$65,$C$69,1)/$C$70))</x:f>
        <x:v>-2</x:v>
      </x:c>
      <x:c r="J80" s="17" t="n">
        <x:f>IF($C$68=0,J63,IF(6=$C$69,J63/$C$70,J63-INDEX($C63:$M63,1,$C$68)*INDEX(J$58:J$65,$C$69,1)/$C$70))</x:f>
        <x:v>-2.9999999999999987</x:v>
      </x:c>
      <x:c r="K80" s="17" t="n">
        <x:f>IF($C$68=0,K63,IF(6=$C$69,K63/$C$70,K63-INDEX($C63:$M63,1,$C$68)*INDEX(K$58:K$65,$C$69,1)/$C$70))</x:f>
        <x:v>1</x:v>
      </x:c>
      <x:c r="L80" s="17" t="n">
        <x:f>IF($C$68=0,L63,IF(6=$C$69,L63/$C$70,L63-INDEX($C63:$M63,1,$C$68)*INDEX(L$58:L$65,$C$69,1)/$C$70))</x:f>
        <x:v>0</x:v>
      </x:c>
      <x:c r="M80" s="17" t="n">
        <x:f>IF($C$68=0,M63,IF(6=$C$69,M63/$C$70,M63-INDEX($C63:$M63,1,$C$68)*INDEX(M$58:M$65,$C$69,1)/$C$70))</x:f>
        <x:v>0</x:v>
      </x:c>
      <x:c r="N80" s="17" t="str">
        <x:f>IF($C$85=0,"",IF(INDEX(C80:M80,1,$C$85)&gt;1E-8,B80/INDEX(C80:M80,1,$C$85),""))</x:f>
      </x:c>
    </x:row>
    <x:row r="81" ht="24" customHeight="1">
      <x:c r="A81" s="2" t="n">
        <x:f>IF($C$68=0,A64,IF(7=$C$69,$C$68,A64))</x:f>
        <x:v>10</x:v>
      </x:c>
      <x:c r="B81" s="17" t="n">
        <x:f>IF($C$68=0,B64,IF(7=$C$69,B64/$C$70,B64-INDEX($C64:$M64,1,$C$68)*INDEX(B$58:B$65,$C$69,1)/$C$70))</x:f>
        <x:v>20</x:v>
      </x:c>
      <x:c r="C81" s="17" t="n">
        <x:f>IF($C$68=0,C64,IF(7=$C$69,C64/$C$70,C64-INDEX($C64:$M64,1,$C$68)*INDEX(C$58:C$65,$C$69,1)/$C$70))</x:f>
        <x:v>0</x:v>
      </x:c>
      <x:c r="D81" s="17" t="n">
        <x:f>IF($C$68=0,D64,IF(7=$C$69,D64/$C$70,D64-INDEX($C64:$M64,1,$C$68)*INDEX(D$58:D$65,$C$69,1)/$C$70))</x:f>
        <x:v>0</x:v>
      </x:c>
      <x:c r="E81" s="17" t="n">
        <x:f>IF($C$68=0,E64,IF(7=$C$69,E64/$C$70,E64-INDEX($C64:$M64,1,$C$68)*INDEX(E$58:E$65,$C$69,1)/$C$70))</x:f>
        <x:v>0</x:v>
      </x:c>
      <x:c r="F81" s="17" t="n">
        <x:f>IF($C$68=0,F64,IF(7=$C$69,F64/$C$70,F64-INDEX($C64:$M64,1,$C$68)*INDEX(F$58:F$65,$C$69,1)/$C$70))</x:f>
        <x:v>0</x:v>
      </x:c>
      <x:c r="G81" s="17" t="n">
        <x:f>IF($C$68=0,G64,IF(7=$C$69,G64/$C$70,G64-INDEX($C64:$M64,1,$C$68)*INDEX(G$58:G$65,$C$69,1)/$C$70))</x:f>
        <x:v>0</x:v>
      </x:c>
      <x:c r="H81" s="17" t="n">
        <x:f>IF($C$68=0,H64,IF(7=$C$69,H64/$C$70,H64-INDEX($C64:$M64,1,$C$68)*INDEX(H$58:H$65,$C$69,1)/$C$70))</x:f>
        <x:v>-1</x:v>
      </x:c>
      <x:c r="I81" s="17" t="n">
        <x:f>IF($C$68=0,I64,IF(7=$C$69,I64/$C$70,I64-INDEX($C64:$M64,1,$C$68)*INDEX(I$58:I$65,$C$69,1)/$C$70))</x:f>
        <x:v>1</x:v>
      </x:c>
      <x:c r="J81" s="17" t="n">
        <x:f>IF($C$68=0,J64,IF(7=$C$69,J64/$C$70,J64-INDEX($C64:$M64,1,$C$68)*INDEX(J$58:J$65,$C$69,1)/$C$70))</x:f>
        <x:v>0</x:v>
      </x:c>
      <x:c r="K81" s="17" t="n">
        <x:f>IF($C$68=0,K64,IF(7=$C$69,K64/$C$70,K64-INDEX($C64:$M64,1,$C$68)*INDEX(K$58:K$65,$C$69,1)/$C$70))</x:f>
        <x:v>0</x:v>
      </x:c>
      <x:c r="L81" s="17" t="n">
        <x:f>IF($C$68=0,L64,IF(7=$C$69,L64/$C$70,L64-INDEX($C64:$M64,1,$C$68)*INDEX(L$58:L$65,$C$69,1)/$C$70))</x:f>
        <x:v>1</x:v>
      </x:c>
      <x:c r="M81" s="17" t="n">
        <x:f>IF($C$68=0,M64,IF(7=$C$69,M64/$C$70,M64-INDEX($C64:$M64,1,$C$68)*INDEX(M$58:M$65,$C$69,1)/$C$70))</x:f>
        <x:v>0</x:v>
      </x:c>
      <x:c r="N81" s="17" t="str">
        <x:f>IF($C$85=0,"",IF(INDEX(C81:M81,1,$C$85)&gt;1E-8,B81/INDEX(C81:M81,1,$C$85),""))</x:f>
      </x:c>
    </x:row>
    <x:row r="82" ht="24" customHeight="1">
      <x:c r="A82" s="2" t="n">
        <x:f>IF($C$68=0,A65,IF(8=$C$69,$C$68,A65))</x:f>
        <x:v>3</x:v>
      </x:c>
      <x:c r="B82" s="17" t="n">
        <x:f>IF($C$68=0,B65,IF(8=$C$69,B65/$C$70,B65-INDEX($C65:$M65,1,$C$68)*INDEX(B$58:B$65,$C$69,1)/$C$70))</x:f>
        <x:v>20.000000000000007</x:v>
      </x:c>
      <x:c r="C82" s="17" t="n">
        <x:f>IF($C$68=0,C65,IF(8=$C$69,C65/$C$70,C65-INDEX($C65:$M65,1,$C$68)*INDEX(C$58:C$65,$C$69,1)/$C$70))</x:f>
        <x:v>0</x:v>
      </x:c>
      <x:c r="D82" s="17" t="n">
        <x:f>IF($C$68=0,D65,IF(8=$C$69,D65/$C$70,D65-INDEX($C65:$M65,1,$C$68)*INDEX(D$58:D$65,$C$69,1)/$C$70))</x:f>
        <x:v>0</x:v>
      </x:c>
      <x:c r="E82" s="17" t="n">
        <x:f>IF($C$68=0,E65,IF(8=$C$69,E65/$C$70,E65-INDEX($C65:$M65,1,$C$68)*INDEX(E$58:E$65,$C$69,1)/$C$70))</x:f>
        <x:v>1</x:v>
      </x:c>
      <x:c r="F82" s="17" t="n">
        <x:f>IF($C$68=0,F65,IF(8=$C$69,F65/$C$70,F65-INDEX($C65:$M65,1,$C$68)*INDEX(F$58:F$65,$C$69,1)/$C$70))</x:f>
        <x:v>0</x:v>
      </x:c>
      <x:c r="G82" s="17" t="n">
        <x:f>IF($C$68=0,G65,IF(8=$C$69,G65/$C$70,G65-INDEX($C65:$M65,1,$C$68)*INDEX(G$58:G$65,$C$69,1)/$C$70))</x:f>
        <x:v>0</x:v>
      </x:c>
      <x:c r="H82" s="17" t="n">
        <x:f>IF($C$68=0,H65,IF(8=$C$69,H65/$C$70,H65-INDEX($C65:$M65,1,$C$68)*INDEX(H$58:H$65,$C$69,1)/$C$70))</x:f>
        <x:v>1.999999999999999</x:v>
      </x:c>
      <x:c r="I82" s="17" t="n">
        <x:f>IF($C$68=0,I65,IF(8=$C$69,I65/$C$70,I65-INDEX($C65:$M65,1,$C$68)*INDEX(I$58:I$65,$C$69,1)/$C$70))</x:f>
        <x:v>0</x:v>
      </x:c>
      <x:c r="J82" s="17" t="n">
        <x:f>IF($C$68=0,J65,IF(8=$C$69,J65/$C$70,J65-INDEX($C65:$M65,1,$C$68)*INDEX(J$58:J$65,$C$69,1)/$C$70))</x:f>
        <x:v>-0.9999999999999996</x:v>
      </x:c>
      <x:c r="K82" s="17" t="n">
        <x:f>IF($C$68=0,K65,IF(8=$C$69,K65/$C$70,K65-INDEX($C65:$M65,1,$C$68)*INDEX(K$58:K$65,$C$69,1)/$C$70))</x:f>
        <x:v>0</x:v>
      </x:c>
      <x:c r="L82" s="17" t="n">
        <x:f>IF($C$68=0,L65,IF(8=$C$69,L65/$C$70,L65-INDEX($C65:$M65,1,$C$68)*INDEX(L$58:L$65,$C$69,1)/$C$70))</x:f>
        <x:v>0</x:v>
      </x:c>
      <x:c r="M82" s="17" t="n">
        <x:f>IF($C$68=0,M65,IF(8=$C$69,M65/$C$70,M65-INDEX($C65:$M65,1,$C$68)*INDEX(M$58:M$65,$C$69,1)/$C$70))</x:f>
        <x:v>0</x:v>
      </x:c>
      <x:c r="N82" s="17" t="str">
        <x:f>IF($C$85=0,"",IF(INDEX(C82:M82,1,$C$85)&gt;1E-8,B82/INDEX(C82:M82,1,$C$85),""))</x:f>
      </x:c>
    </x:row>
    <x:row r="83" ht="24" customHeight="1">
      <x:c r="A83" s="16" t="str">
        <x:v>Z</x:v>
      </x:c>
      <x:c r="B83" s="18" t="n">
        <x:f>IF($C$68=0,B66,IF(9=$C$69,B66/$C$70,B66-INDEX($C66:$M66,1,$C$68)*INDEX(B$58:B$65,$C$69,1)/$C$70))</x:f>
        <x:v>720000</x:v>
      </x:c>
      <x:c r="C83" s="18" t="n">
        <x:f>IF($C$68=0,C66,IF(9=$C$69,C66/$C$70,C66-INDEX($C66:$M66,1,$C$68)*INDEX(C$58:C$65,$C$69,1)/$C$70))</x:f>
        <x:v>0</x:v>
      </x:c>
      <x:c r="D83" s="18" t="n">
        <x:f>IF($C$68=0,D66,IF(9=$C$69,D66/$C$70,D66-INDEX($C66:$M66,1,$C$68)*INDEX(D$58:D$65,$C$69,1)/$C$70))</x:f>
        <x:v>0</x:v>
      </x:c>
      <x:c r="E83" s="18" t="n">
        <x:f>IF($C$68=0,E66,IF(9=$C$69,E66/$C$70,E66-INDEX($C66:$M66,1,$C$68)*INDEX(E$58:E$65,$C$69,1)/$C$70))</x:f>
        <x:v>0</x:v>
      </x:c>
      <x:c r="F83" s="18" t="n">
        <x:f>IF($C$68=0,F66,IF(9=$C$69,F66/$C$70,F66-INDEX($C66:$M66,1,$C$68)*INDEX(F$58:F$65,$C$69,1)/$C$70))</x:f>
        <x:v>0</x:v>
      </x:c>
      <x:c r="G83" s="18" t="n">
        <x:f>IF($C$68=0,G66,IF(9=$C$69,G66/$C$70,G66-INDEX($C66:$M66,1,$C$68)*INDEX(G$58:G$65,$C$69,1)/$C$70))</x:f>
        <x:v>0</x:v>
      </x:c>
      <x:c r="H83" s="18" t="n">
        <x:f>IF($C$68=0,H66,IF(9=$C$69,H66/$C$70,H66-INDEX($C66:$M66,1,$C$68)*INDEX(H$58:H$65,$C$69,1)/$C$70))</x:f>
        <x:v>1000</x:v>
      </x:c>
      <x:c r="I83" s="18" t="n">
        <x:f>IF($C$68=0,I66,IF(9=$C$69,I66/$C$70,I66-INDEX($C66:$M66,1,$C$68)*INDEX(I$58:I$65,$C$69,1)/$C$70))</x:f>
        <x:v>2000</x:v>
      </x:c>
      <x:c r="J83" s="18" t="n">
        <x:f>IF($C$68=0,J66,IF(9=$C$69,J66/$C$70,J66-INDEX($C66:$M66,1,$C$68)*INDEX(J$58:J$65,$C$69,1)/$C$70))</x:f>
        <x:v>1000</x:v>
      </x:c>
      <x:c r="K83" s="18" t="n">
        <x:f>IF($C$68=0,K66,IF(9=$C$69,K66/$C$70,K66-INDEX($C66:$M66,1,$C$68)*INDEX(K$58:K$65,$C$69,1)/$C$70))</x:f>
        <x:v>0</x:v>
      </x:c>
      <x:c r="L83" s="18" t="n">
        <x:f>IF($C$68=0,L66,IF(9=$C$69,L66/$C$70,L66-INDEX($C66:$M66,1,$C$68)*INDEX(L$58:L$65,$C$69,1)/$C$70))</x:f>
        <x:v>0</x:v>
      </x:c>
      <x:c r="M83" s="18" t="n">
        <x:f>IF($C$68=0,M66,IF(9=$C$69,M66/$C$70,M66-INDEX($C66:$M66,1,$C$68)*INDEX(M$58:M$65,$C$69,1)/$C$70))</x:f>
        <x:v>0</x:v>
      </x:c>
      <x:c r="N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4" customHeight="1">
      <x:c r="A85" s="2" t="str">
        <x:v>Входящий №</x:v>
      </x:c>
      <x:c r="B85" s="2"/>
      <x:c r="C85" s="2" t="n">
        <x:f>IF(MIN(C83:M83)&gt;=-1E-8,0,MATCH(MIN(C83:M83),C83:M83,0))</x:f>
        <x:v>0</x:v>
      </x:c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4" customHeight="1">
      <x:c r="A86" s="2" t="str">
        <x:v>Выходящая строка</x:v>
      </x:c>
      <x:c r="B86" s="2"/>
      <x:c r="C86" s="2" t="n">
        <x:f>IF(C85=0,0,MATCH(MIN(N75:N82),N75:N82,0))</x:f>
        <x:v>0</x:v>
      </x:c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4" customHeight="1">
      <x:c r="A87" s="2" t="str">
        <x:v>Разреш. элемент</x:v>
      </x:c>
      <x:c r="B87" s="2"/>
      <x:c r="C87" s="19" t="n">
        <x:f>IF(C85=0,1,INDEX(C75:M82,C86,C85))</x:f>
        <x:v>1</x:v>
      </x:c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4" customHeight="1">
      <x:c r="A88" s="2" t="str">
        <x:v>Статус</x:v>
      </x:c>
      <x:c r="B88" s="2"/>
      <x:c r="C88" s="2" t="str">
        <x:f>IF(MIN(B75:B82)&lt;-1E-7,"Недопустимый базис",IF(C85=0,"Оптимум",IF(COUNT(N75:N82)=0,"Неограничена","Нужен переход")))</x:f>
        <x:v>Оптимум</x:v>
      </x:c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22000122070312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3.890000343322754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</x:cols>
  <x:sheetData>
    <x:row r="1" ht="24" customHeight="1">
      <x:c r="A1" s="3" t="str">
        <x:v>Модель для надстройки «Поиск решения»</x:v>
      </x:c>
      <x:c r="B1" s="2"/>
      <x:c r="C1" s="2"/>
      <x:c r="D1" s="2"/>
      <x:c r="E1" s="2"/>
      <x:c r="F1" s="2"/>
      <x:c r="G1" s="2"/>
      <x:c r="H1" s="2"/>
    </x:row>
    <x:row r="2" ht="24" customHeight="1">
      <x:c r="A2" s="2" t="str">
        <x:v>Сохранённый план перенесён из симплекс-таблиц. Для нового запуска можно заменить B5:D5 нулями.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24" customHeight="1">
      <x:c r="A4" s="7" t="str">
        <x:v>Показатель</x:v>
      </x:c>
      <x:c r="B4" s="7" t="str">
        <x:v>P4</x:v>
      </x:c>
      <x:c r="C4" s="7" t="str">
        <x:v>P8</x:v>
      </x:c>
      <x:c r="D4" s="7" t="str">
        <x:v>P8H</x:v>
      </x:c>
      <x:c r="E4" s="2"/>
      <x:c r="F4" s="2"/>
      <x:c r="G4" s="2"/>
      <x:c r="H4" s="2"/>
    </x:row>
    <x:row r="5" ht="24" customHeight="1">
      <x:c r="A5" s="2" t="str">
        <x:v>Изменяемые переменные, шт.</x:v>
      </x:c>
      <x:c r="B5" s="20" t="n">
        <x:v>40</x:v>
      </x:c>
      <x:c r="C5" s="20" t="n">
        <x:v>30</x:v>
      </x:c>
      <x:c r="D5" s="20" t="n">
        <x:v>20</x:v>
      </x:c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24" customHeight="1">
      <x:c r="A7" s="2" t="str">
        <x:v>Маржинальная прибыль, руб./шт.</x:v>
      </x:c>
      <x:c r="B7" s="2" t="n">
        <x:f>'Модель'!B11</x:f>
        <x:v>5000</x:v>
      </x:c>
      <x:c r="C7" s="2" t="n">
        <x:f>'Модель'!C11</x:f>
        <x:v>8000</x:v>
      </x:c>
      <x:c r="D7" s="2" t="n">
        <x:f>'Модель'!D11</x:f>
        <x:v>14000</x:v>
      </x:c>
      <x:c r="E7" s="2"/>
      <x:c r="F7" s="2"/>
      <x:c r="G7" s="2"/>
      <x:c r="H7" s="2"/>
    </x:row>
    <x:row r="8" ht="24" customHeight="1">
      <x:c r="A8" s="2" t="str">
        <x:v>Целевая функция, руб.</x:v>
      </x:c>
      <x:c r="B8" s="11" t="n">
        <x:f>SUMPRODUCT(B5:D5,B7:D7)</x:f>
        <x:v>720000</x:v>
      </x:c>
      <x:c r="C8" s="2"/>
      <x:c r="D8" s="2"/>
      <x:c r="E8" s="2"/>
      <x:c r="F8" s="2"/>
      <x:c r="G8" s="2"/>
      <x:c r="H8" s="2"/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7" t="str">
        <x:v>Ограничение</x:v>
      </x:c>
      <x:c r="B10" s="7" t="str">
        <x:v>P4</x:v>
      </x:c>
      <x:c r="C10" s="7" t="str">
        <x:v>P8</x:v>
      </x:c>
      <x:c r="D10" s="7" t="str">
        <x:v>P8H</x:v>
      </x:c>
      <x:c r="E10" s="7" t="str">
        <x:v>Лимит</x:v>
      </x:c>
      <x:c r="F10" s="7" t="str">
        <x:v>Расход</x:v>
      </x:c>
      <x:c r="G10" s="7" t="str">
        <x:v>Остаток</x:v>
      </x:c>
      <x:c r="H10" s="7" t="str">
        <x:v>Выполнено</x:v>
      </x:c>
    </x:row>
    <x:row r="11" ht="40" customHeight="1">
      <x:c r="A11" s="12" t="str">
        <x:f>'Модель'!A15</x:f>
        <x:v>Четырёхпортовые блоки PoE, шт.</x:v>
      </x:c>
      <x:c r="B11" s="2" t="n">
        <x:f>'Модель'!B15</x:f>
        <x:v>1</x:v>
      </x:c>
      <x:c r="C11" s="2" t="n">
        <x:f>'Модель'!C15</x:f>
        <x:v>2</x:v>
      </x:c>
      <x:c r="D11" s="2" t="n">
        <x:f>'Модель'!D15</x:f>
        <x:v>2</x:v>
      </x:c>
      <x:c r="E11" s="2" t="n">
        <x:f>'Модель'!E15</x:f>
        <x:v>160</x:v>
      </x:c>
      <x:c r="F11" s="2" t="n">
        <x:f>SUMPRODUCT($B$5:$D$5,B11:D11)</x:f>
        <x:v>140</x:v>
      </x:c>
      <x:c r="G11" s="2" t="n">
        <x:f>E11-F11</x:f>
        <x:v>20</x:v>
      </x:c>
      <x:c r="H11" s="2" t="str">
        <x:f>IF(G11&gt;=-1E-7,"Да","Нет")</x:f>
        <x:v>Да</x:v>
      </x:c>
    </x:row>
    <x:row r="12" ht="40" customHeight="1">
      <x:c r="A12" s="12" t="str">
        <x:f>'Модель'!A16</x:f>
        <x:v>Унифицированные модули питания, шт.</x:v>
      </x:c>
      <x:c r="B12" s="2" t="n">
        <x:f>'Модель'!B16</x:f>
        <x:v>1</x:v>
      </x:c>
      <x:c r="C12" s="2" t="n">
        <x:f>'Модель'!C16</x:f>
        <x:v>1</x:v>
      </x:c>
      <x:c r="D12" s="2" t="n">
        <x:f>'Модель'!D16</x:f>
        <x:v>2</x:v>
      </x:c>
      <x:c r="E12" s="2" t="n">
        <x:f>'Модель'!E16</x:f>
        <x:v>130</x:v>
      </x:c>
      <x:c r="F12" s="2" t="n">
        <x:f>SUMPRODUCT($B$5:$D$5,B12:D12)</x:f>
        <x:v>110</x:v>
      </x:c>
      <x:c r="G12" s="2" t="n">
        <x:f>E12-F12</x:f>
        <x:v>20</x:v>
      </x:c>
      <x:c r="H12" s="2" t="str">
        <x:f>IF(G12&gt;=-1E-7,"Да","Нет")</x:f>
        <x:v>Да</x:v>
      </x:c>
    </x:row>
    <x:row r="13" ht="40" customHeight="1">
      <x:c r="A13" s="12" t="str">
        <x:f>'Модель'!A17</x:f>
        <x:v>Сборка и настройка, чел.-ч</x:v>
      </x:c>
      <x:c r="B13" s="2" t="n">
        <x:f>'Модель'!B17</x:f>
        <x:v>1</x:v>
      </x:c>
      <x:c r="C13" s="2" t="n">
        <x:f>'Модель'!C17</x:f>
        <x:v>2</x:v>
      </x:c>
      <x:c r="D13" s="2" t="n">
        <x:f>'Модель'!D17</x:f>
        <x:v>3</x:v>
      </x:c>
      <x:c r="E13" s="2" t="n">
        <x:f>'Модель'!E17</x:f>
        <x:v>160</x:v>
      </x:c>
      <x:c r="F13" s="2" t="n">
        <x:f>SUMPRODUCT($B$5:$D$5,B13:D13)</x:f>
        <x:v>160</x:v>
      </x:c>
      <x:c r="G13" s="2" t="n">
        <x:f>E13-F13</x:f>
        <x:v>0</x:v>
      </x:c>
      <x:c r="H13" s="2" t="str">
        <x:f>IF(G13&gt;=-1E-7,"Да","Нет")</x:f>
        <x:v>Да</x:v>
      </x:c>
    </x:row>
    <x:row r="14" ht="40" customHeight="1">
      <x:c r="A14" s="12" t="str">
        <x:f>'Модель'!A18</x:f>
        <x:v>Проверка PoE под нагрузкой, стендо-ч</x:v>
      </x:c>
      <x:c r="B14" s="2" t="n">
        <x:f>'Модель'!B18</x:f>
        <x:v>1</x:v>
      </x:c>
      <x:c r="C14" s="2" t="n">
        <x:f>'Модель'!C18</x:f>
        <x:v>1</x:v>
      </x:c>
      <x:c r="D14" s="2" t="n">
        <x:f>'Модель'!D18</x:f>
        <x:v>3</x:v>
      </x:c>
      <x:c r="E14" s="2" t="n">
        <x:f>'Модель'!E18</x:f>
        <x:v>130</x:v>
      </x:c>
      <x:c r="F14" s="2" t="n">
        <x:f>SUMPRODUCT($B$5:$D$5,B14:D14)</x:f>
        <x:v>130</x:v>
      </x:c>
      <x:c r="G14" s="2" t="n">
        <x:f>E14-F14</x:f>
        <x:v>0</x:v>
      </x:c>
      <x:c r="H14" s="2" t="str">
        <x:f>IF(G14&gt;=-1E-7,"Да","Нет")</x:f>
        <x:v>Да</x:v>
      </x:c>
    </x:row>
    <x:row r="15" ht="40" customHeight="1">
      <x:c r="A15" s="12" t="str">
        <x:f>'Модель'!A19</x:f>
        <x:v>Температурные испытания, место-ч</x:v>
      </x:c>
      <x:c r="B15" s="2" t="n">
        <x:f>'Модель'!B19</x:f>
        <x:v>2</x:v>
      </x:c>
      <x:c r="C15" s="2" t="n">
        <x:f>'Модель'!C19</x:f>
        <x:v>4</x:v>
      </x:c>
      <x:c r="D15" s="2" t="n">
        <x:f>'Модель'!D19</x:f>
        <x:v>5</x:v>
      </x:c>
      <x:c r="E15" s="2" t="n">
        <x:f>'Модель'!E19</x:f>
        <x:v>300</x:v>
      </x:c>
      <x:c r="F15" s="2" t="n">
        <x:f>SUMPRODUCT($B$5:$D$5,B15:D15)</x:f>
        <x:v>300</x:v>
      </x:c>
      <x:c r="G15" s="2" t="n">
        <x:f>E15-F15</x:f>
        <x:v>0</x:v>
      </x:c>
      <x:c r="H15" s="2" t="str">
        <x:f>IF(G15&gt;=-1E-7,"Да","Нет")</x:f>
        <x:v>Да</x:v>
      </x:c>
    </x:row>
    <x:row r="16" ht="40" customHeight="1">
      <x:c r="A16" s="12" t="str">
        <x:f>'Модель'!A20</x:f>
        <x:v>Спрос на P4, шт.</x:v>
      </x:c>
      <x:c r="B16" s="2" t="n">
        <x:f>'Модель'!B20</x:f>
        <x:v>1</x:v>
      </x:c>
      <x:c r="C16" s="2" t="n">
        <x:f>'Модель'!C20</x:f>
        <x:v>0</x:v>
      </x:c>
      <x:c r="D16" s="2" t="n">
        <x:f>'Модель'!D20</x:f>
        <x:v>0</x:v>
      </x:c>
      <x:c r="E16" s="2" t="n">
        <x:f>'Модель'!E20</x:f>
        <x:v>60</x:v>
      </x:c>
      <x:c r="F16" s="2" t="n">
        <x:f>SUMPRODUCT($B$5:$D$5,B16:D16)</x:f>
        <x:v>40</x:v>
      </x:c>
      <x:c r="G16" s="2" t="n">
        <x:f>E16-F16</x:f>
        <x:v>20</x:v>
      </x:c>
      <x:c r="H16" s="2" t="str">
        <x:f>IF(G16&gt;=-1E-7,"Да","Нет")</x:f>
        <x:v>Да</x:v>
      </x:c>
    </x:row>
    <x:row r="17" ht="40" customHeight="1">
      <x:c r="A17" s="12" t="str">
        <x:f>'Модель'!A21</x:f>
        <x:v>Спрос на P8, шт.</x:v>
      </x:c>
      <x:c r="B17" s="2" t="n">
        <x:f>'Модель'!B21</x:f>
        <x:v>0</x:v>
      </x:c>
      <x:c r="C17" s="2" t="n">
        <x:f>'Модель'!C21</x:f>
        <x:v>1</x:v>
      </x:c>
      <x:c r="D17" s="2" t="n">
        <x:f>'Модель'!D21</x:f>
        <x:v>0</x:v>
      </x:c>
      <x:c r="E17" s="2" t="n">
        <x:f>'Модель'!E21</x:f>
        <x:v>50</x:v>
      </x:c>
      <x:c r="F17" s="2" t="n">
        <x:f>SUMPRODUCT($B$5:$D$5,B17:D17)</x:f>
        <x:v>30</x:v>
      </x:c>
      <x:c r="G17" s="2" t="n">
        <x:f>E17-F17</x:f>
        <x:v>20</x:v>
      </x:c>
      <x:c r="H17" s="2" t="str">
        <x:f>IF(G17&gt;=-1E-7,"Да","Нет")</x:f>
        <x:v>Да</x:v>
      </x:c>
    </x:row>
    <x:row r="18" ht="40" customHeight="1">
      <x:c r="A18" s="12" t="str">
        <x:f>'Модель'!A22</x:f>
        <x:v>Спрос на P8H, шт.</x:v>
      </x:c>
      <x:c r="B18" s="2" t="n">
        <x:f>'Модель'!B22</x:f>
        <x:v>0</x:v>
      </x:c>
      <x:c r="C18" s="2" t="n">
        <x:f>'Модель'!C22</x:f>
        <x:v>0</x:v>
      </x:c>
      <x:c r="D18" s="2" t="n">
        <x:f>'Модель'!D22</x:f>
        <x:v>1</x:v>
      </x:c>
      <x:c r="E18" s="2" t="n">
        <x:f>'Модель'!E22</x:f>
        <x:v>40</x:v>
      </x:c>
      <x:c r="F18" s="2" t="n">
        <x:f>SUMPRODUCT($B$5:$D$5,B18:D18)</x:f>
        <x:v>20</x:v>
      </x:c>
      <x:c r="G18" s="2" t="n">
        <x:f>E18-F18</x:f>
        <x:v>20</x:v>
      </x:c>
      <x:c r="H18" s="2" t="str">
        <x:f>IF(G18&gt;=-1E-7,"Да","Нет")</x:f>
        <x:v>Да</x:v>
      </x:c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 t="str">
        <x:v>Настройка надстройки</x:v>
      </x:c>
      <x:c r="B20" s="2"/>
      <x:c r="C20" s="2"/>
      <x:c r="D20" s="2"/>
      <x:c r="E20" s="2"/>
      <x:c r="F20" s="2"/>
      <x:c r="G20" s="2"/>
      <x:c r="H20" s="2"/>
    </x:row>
    <x:row r="21" ht="24" customHeight="1">
      <x:c r="A21" s="2" t="str">
        <x:v>Оптимизировать ячейку</x:v>
      </x:c>
      <x:c r="B21" s="2" t="str">
        <x:v>$B$8</x:v>
      </x:c>
      <x:c r="C21" s="2"/>
      <x:c r="D21" s="2"/>
      <x:c r="E21" s="2"/>
      <x:c r="F21" s="2"/>
      <x:c r="G21" s="2"/>
      <x:c r="H21" s="2"/>
    </x:row>
    <x:row r="22" ht="24" customHeight="1">
      <x:c r="A22" s="2" t="str">
        <x:v>До значения</x:v>
      </x:c>
      <x:c r="B22" s="2" t="str">
        <x:v>Максимум</x:v>
      </x:c>
      <x:c r="C22" s="2"/>
      <x:c r="D22" s="2"/>
      <x:c r="E22" s="2"/>
      <x:c r="F22" s="2"/>
      <x:c r="G22" s="2"/>
      <x:c r="H22" s="2"/>
    </x:row>
    <x:row r="23" ht="24" customHeight="1">
      <x:c r="A23" s="2" t="str">
        <x:v>Изменяя ячейки</x:v>
      </x:c>
      <x:c r="B23" s="2" t="str">
        <x:v>$B$5:$D$5</x:v>
      </x:c>
      <x:c r="C23" s="2"/>
      <x:c r="D23" s="2"/>
      <x:c r="E23" s="2"/>
      <x:c r="F23" s="2"/>
      <x:c r="G23" s="2"/>
      <x:c r="H23" s="2"/>
    </x:row>
    <x:row r="24" ht="24" customHeight="1">
      <x:c r="A24" s="2" t="str">
        <x:v>Ограничения</x:v>
      </x:c>
      <x:c r="B24" s="2" t="str">
        <x:v>$F$11:$F$18 &lt;= $E$11:$E$18</x:v>
      </x:c>
      <x:c r="C24" s="2"/>
      <x:c r="D24" s="2"/>
      <x:c r="E24" s="2"/>
      <x:c r="F24" s="2"/>
      <x:c r="G24" s="2"/>
      <x:c r="H24" s="2"/>
    </x:row>
    <x:row r="25" ht="24" customHeight="1">
      <x:c r="A25" s="2" t="str">
        <x:v>Неотрицательность</x:v>
      </x:c>
      <x:c r="B25" s="2" t="str">
        <x:v>$B$5:$D$5 &gt;= 0</x:v>
      </x:c>
      <x:c r="C25" s="2"/>
      <x:c r="D25" s="2"/>
      <x:c r="E25" s="2"/>
      <x:c r="F25" s="2"/>
      <x:c r="G25" s="2"/>
      <x:c r="H25" s="2"/>
    </x:row>
    <x:row r="26" ht="24" customHeight="1">
      <x:c r="A26" s="2" t="str">
        <x:v>Метод</x:v>
      </x:c>
      <x:c r="B26" s="2" t="str">
        <x:v>Симплекс LP / Simplex LP</x:v>
      </x:c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 t="str">
        <x:v>Целочисленные ограничения не включаются: оптимум непрерывной задачи уже целочисленный.</x:v>
      </x:c>
      <x:c r="B28" s="2"/>
      <x:c r="C28" s="2"/>
      <x:c r="D28" s="2"/>
      <x:c r="E28" s="2"/>
      <x:c r="F28" s="2"/>
      <x:c r="G28" s="2"/>
      <x:c r="H28" s="2"/>
    </x:row>
    <x:row r="29" ht="24" customHeight="1">
      <x:c r="A29" s="2" t="str">
        <x:v>В Excel: Данные → Поиск решения → ввести параметры выше → Найти решение.</x:v>
      </x:c>
      <x:c r="B29" s="2"/>
      <x:c r="C29" s="2"/>
      <x:c r="D29" s="2"/>
      <x:c r="E29" s="2"/>
      <x:c r="F29" s="2"/>
      <x:c r="G29" s="2"/>
      <x:c r="H29" s="2"/>
    </x:row>
    <x:row r="30" ht="24" customHeight="1">
      <x:c r="A30" s="2" t="str">
        <x:v>Встроенный расчёт выполнен формулами. Solver позволяет повторить решение через надстройку.</x:v>
      </x:c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</x:sheetData>
  <x:pageMargins left="0.7" right="0.7" top="0.75" bottom="0.75" header="0.3" footer="0.3"/>
</x:worksheet>
</file>